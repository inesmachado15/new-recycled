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Parametros" sheetId="2" state="visible" r:id="rId4"/>
    <sheet name="Prec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(Custo + portes) × (1 + margem), mais comissões e IVA se aplicável.</t>
        </r>
      </text>
    </comment>
    <comment ref="I4" authorId="0">
      <text>
        <r>
          <rPr>
            <sz val="10"/>
            <rFont val="Arial"/>
            <family val="2"/>
          </rPr>
          <t xml:space="preserve">Preço terminado em ,99. Se houver concorrente: 3% abaixo dele, mas nunca abaixo do preço mínimo.</t>
        </r>
      </text>
    </comment>
  </commentList>
</comments>
</file>

<file path=xl/sharedStrings.xml><?xml version="1.0" encoding="utf-8"?>
<sst xmlns="http://schemas.openxmlformats.org/spreadsheetml/2006/main" count="57" uniqueCount="57">
  <si>
    <t xml:space="preserve">Como usar a calculadora</t>
  </si>
  <si>
    <t xml:space="preserve">1. Na folha 'Precos', para cada produto escreve nas células AMARELAS:</t>
  </si>
  <si>
    <t xml:space="preserve">     • Custo no fornecedor (€): o preço a que compras no site do fornecedor.</t>
  </si>
  <si>
    <t xml:space="preserve">     • Concorrente mais barato no Google (€): o preço mais baixo que encontras em sites portugueses.</t>
  </si>
  <si>
    <t xml:space="preserve">     • Link do concorrente: para voltares a verificar mais tarde.</t>
  </si>
  <si>
    <t xml:space="preserve">2. A coluna 'Preço sugerido' diz-te o preço a pôr na loja (termina sempre em ,99).</t>
  </si>
  <si>
    <t xml:space="preserve">3. A coluna 'Estado' diz se consegues competir:</t>
  </si>
  <si>
    <t xml:space="preserve">     • Competitivo: ficas abaixo do concorrente e ganhas pelo menos a margem mínima.</t>
  </si>
  <si>
    <t xml:space="preserve">     • Pouco competitivo: para ganhares a margem mínima tens de ser mais caro que o concorrente. Pensa se vale a pena vender.</t>
  </si>
  <si>
    <t xml:space="preserve">     • Sem concorrente: usa o preço mínimo (ou procura melhor no Google).</t>
  </si>
  <si>
    <t xml:space="preserve">4. Copia o preço sugerido para a coluna 'preco' do Catalogo.xlsx (ou para o admin da loja).</t>
  </si>
  <si>
    <t xml:space="preserve">Regra usada:</t>
  </si>
  <si>
    <t xml:space="preserve">   Preço mínimo = (custo + portes) × (1 + margem), mais comissões de pagamento e IVA se aplicável.</t>
  </si>
  <si>
    <t xml:space="preserve">   Preço sugerido = 3% abaixo do concorrente, mas nunca abaixo do preço mínimo.</t>
  </si>
  <si>
    <t xml:space="preserve">Antes de usar, confirma na folha 'Parametros' as células marcadas 'A CONFIRMAR' (IVA e comissões Ifthenpay).</t>
  </si>
  <si>
    <t xml:space="preserve">Células amarelas com texto azul = valores que tu preenches. Texto preto = fórmulas, não mexer.</t>
  </si>
  <si>
    <t xml:space="preserve">Parâmetros da loja</t>
  </si>
  <si>
    <t xml:space="preserve">Parâmetro</t>
  </si>
  <si>
    <t xml:space="preserve">Valor</t>
  </si>
  <si>
    <t xml:space="preserve">Nota</t>
  </si>
  <si>
    <t xml:space="preserve">Portes por encomenda (€)</t>
  </si>
  <si>
    <t xml:space="preserve">Valor dado pela Inês (custo de envio do fornecedor).</t>
  </si>
  <si>
    <t xml:space="preserve">Margem mínima sobre o custo (%)</t>
  </si>
  <si>
    <t xml:space="preserve">Valor dado pela Inês: 10% sobre o custo total (produto + portes).</t>
  </si>
  <si>
    <t xml:space="preserve">Ficar abaixo do concorrente (%)</t>
  </si>
  <si>
    <t xml:space="preserve">Pressuposto do Claude: ficar 3% abaixo do mais barato no Google. Ajusta à vontade.</t>
  </si>
  <si>
    <t xml:space="preserve">Comissão de pagamento (%)</t>
  </si>
  <si>
    <t xml:space="preserve">A CONFIRMAR: comissão percentual da Ifthenpay (Multibanco/MB WAY). Vê no teu contrato.</t>
  </si>
  <si>
    <t xml:space="preserve">Comissão de pagamento fixa (€)</t>
  </si>
  <si>
    <t xml:space="preserve">A CONFIRMAR: valor fixo por transação da Ifthenpay, se existir.</t>
  </si>
  <si>
    <t xml:space="preserve">IVA a acrescentar ao preço (%)</t>
  </si>
  <si>
    <t xml:space="preserve">A CONFIRMAR: 0% se estás isenta de IVA (art. 53.º, regime de isenção); 23% se cobras IVA. Se o custo do fornecedor já inclui IVA e não o recuperas, deixa 0%.</t>
  </si>
  <si>
    <t xml:space="preserve">Calculadora de preços — New Recycled</t>
  </si>
  <si>
    <t xml:space="preserve">Preenche só as células amarelas (custo, concorrente, link). Tudo o resto é calculado. Parâmetros na folha 'Parametros'.</t>
  </si>
  <si>
    <t xml:space="preserve">Produto</t>
  </si>
  <si>
    <t xml:space="preserve">Referência</t>
  </si>
  <si>
    <t xml:space="preserve">Preço atual na loja (€)</t>
  </si>
  <si>
    <t xml:space="preserve">Custo no fornecedor (€)</t>
  </si>
  <si>
    <t xml:space="preserve">Concorrente mais barato no Google (€)</t>
  </si>
  <si>
    <t xml:space="preserve">Link do concorrente</t>
  </si>
  <si>
    <t xml:space="preserve">Custo total c/ portes (€)</t>
  </si>
  <si>
    <t xml:space="preserve">Preço mínimo (€)</t>
  </si>
  <si>
    <t xml:space="preserve">Preço sugerido (€)</t>
  </si>
  <si>
    <t xml:space="preserve">Lucro por venda (€)</t>
  </si>
  <si>
    <t xml:space="preserve">Margem real s/ custo (%)</t>
  </si>
  <si>
    <t xml:space="preserve">Estado</t>
  </si>
  <si>
    <t xml:space="preserve">EXEMPLO (apagar depois)</t>
  </si>
  <si>
    <t xml:space="preserve">XXX</t>
  </si>
  <si>
    <t xml:space="preserve">https://exemplo.pt/produto</t>
  </si>
  <si>
    <t xml:space="preserve">Toner Brother TN1050 Compatível</t>
  </si>
  <si>
    <t xml:space="preserve">TN1050</t>
  </si>
  <si>
    <t xml:space="preserve">Pack HP 603XL Compatível</t>
  </si>
  <si>
    <t xml:space="preserve">603XL</t>
  </si>
  <si>
    <t xml:space="preserve">Rolo Térmico 57x35x11</t>
  </si>
  <si>
    <t xml:space="preserve">57x35x11</t>
  </si>
  <si>
    <t xml:space="preserve">Papel A4 80g - Resma</t>
  </si>
  <si>
    <t xml:space="preserve">A4 80g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</si>
</sst>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-#,##0.00&quot; €&quot;;\-"/>
    <numFmt numFmtId="166" formatCode="0.0%;\-0.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16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19</v>
      </c>
    </row>
    <row r="4" customFormat="false" ht="15" hidden="false" customHeight="false" outlineLevel="0" collapsed="false">
      <c r="A4" s="2" t="s">
        <v>20</v>
      </c>
      <c r="B4" s="7" t="n">
        <v>3.75</v>
      </c>
      <c r="C4" s="5" t="s">
        <v>21</v>
      </c>
    </row>
    <row r="5" customFormat="false" ht="15" hidden="false" customHeight="false" outlineLevel="0" collapsed="false">
      <c r="A5" s="2" t="s">
        <v>22</v>
      </c>
      <c r="B5" s="8" t="n">
        <v>0.1</v>
      </c>
      <c r="C5" s="5" t="s">
        <v>23</v>
      </c>
    </row>
    <row r="6" customFormat="false" ht="15" hidden="false" customHeight="false" outlineLevel="0" collapsed="false">
      <c r="A6" s="2" t="s">
        <v>24</v>
      </c>
      <c r="B6" s="8" t="n">
        <v>0.03</v>
      </c>
      <c r="C6" s="5" t="s">
        <v>25</v>
      </c>
    </row>
    <row r="7" customFormat="false" ht="15" hidden="false" customHeight="false" outlineLevel="0" collapsed="false">
      <c r="A7" s="2" t="s">
        <v>26</v>
      </c>
      <c r="B7" s="8" t="n">
        <v>0</v>
      </c>
      <c r="C7" s="5" t="s">
        <v>27</v>
      </c>
    </row>
    <row r="8" customFormat="false" ht="15" hidden="false" customHeight="false" outlineLevel="0" collapsed="false">
      <c r="A8" s="2" t="s">
        <v>28</v>
      </c>
      <c r="B8" s="7" t="n">
        <v>0</v>
      </c>
      <c r="C8" s="5" t="s">
        <v>29</v>
      </c>
    </row>
    <row r="9" customFormat="false" ht="15" hidden="false" customHeight="false" outlineLevel="0" collapsed="false">
      <c r="A9" s="2" t="s">
        <v>30</v>
      </c>
      <c r="B9" s="8" t="n">
        <v>0</v>
      </c>
      <c r="C9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5" t="s">
        <v>33</v>
      </c>
    </row>
    <row r="4" customFormat="false" ht="45" hidden="false" customHeight="true" outlineLevel="0" collapsed="false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</row>
    <row r="5" customFormat="false" ht="15" hidden="false" customHeight="false" outlineLevel="0" collapsed="false">
      <c r="A5" s="10" t="s">
        <v>46</v>
      </c>
      <c r="B5" s="10" t="s">
        <v>47</v>
      </c>
      <c r="C5" s="11"/>
      <c r="D5" s="7" t="n">
        <v>6.5</v>
      </c>
      <c r="E5" s="7" t="n">
        <v>14.9</v>
      </c>
      <c r="F5" s="12" t="s">
        <v>48</v>
      </c>
      <c r="G5" s="13" t="n">
        <f aca="false">IF(D5="","",D5+Parametros!$B$4)</f>
        <v>10.25</v>
      </c>
      <c r="H5" s="13" t="n">
        <f aca="false">IF(D5="","",(G5*(1+Parametros!$B$5)+Parametros!$B$8)/(1-Parametros!$B$7)*(1+Parametros!$B$9))</f>
        <v>11.275</v>
      </c>
      <c r="I5" s="14" t="n">
        <f aca="false">IF(D5="","",IF(E5="",(CEILING(H5+0.01,1)-0.01),MAX((CEILING(H5+0.01,1)-0.01),(FLOOR(E5*(1-Parametros!$B$6)+0.01,1)-0.01))))</f>
        <v>13.99</v>
      </c>
      <c r="J5" s="13" t="n">
        <f aca="false">IF(I5="","",I5/(1+Parametros!$B$9)-I5*Parametros!$B$7-Parametros!$B$8-G5)</f>
        <v>3.74</v>
      </c>
      <c r="K5" s="15" t="n">
        <f aca="false">IF(J5="","",IF(G5=0,"",J5/G5))</f>
        <v>0.364878048780488</v>
      </c>
      <c r="L5" s="16" t="str">
        <f aca="false">IF(AND(A5="",D5=""),"",IF(D5="","Preencher custo",IF(E5="","Sem concorrente",IF((FLOOR(E5*(1-Parametros!$B$6)+0.01,1)-0.01)&gt;=(CEILING(H5+0.01,1)-0.01),"Competitivo","Pouco competitivo"))))</f>
        <v>Competitivo</v>
      </c>
    </row>
    <row r="6" customFormat="false" ht="15" hidden="false" customHeight="false" outlineLevel="0" collapsed="false">
      <c r="A6" s="17" t="s">
        <v>49</v>
      </c>
      <c r="B6" s="17" t="s">
        <v>50</v>
      </c>
      <c r="C6" s="18" t="n">
        <v>12.99</v>
      </c>
      <c r="D6" s="7"/>
      <c r="E6" s="7"/>
      <c r="F6" s="12"/>
      <c r="G6" s="18" t="str">
        <f aca="false">IF(D6="","",D6+Parametros!$B$4)</f>
        <v/>
      </c>
      <c r="H6" s="18" t="str">
        <f aca="false">IF(D6="","",(G6*(1+Parametros!$B$5)+Parametros!$B$8)/(1-Parametros!$B$7)*(1+Parametros!$B$9))</f>
        <v/>
      </c>
      <c r="I6" s="19" t="str">
        <f aca="false">IF(D6="","",IF(E6="",(CEILING(H6+0.01,1)-0.01),MAX((CEILING(H6+0.01,1)-0.01),(FLOOR(E6*(1-Parametros!$B$6)+0.01,1)-0.01))))</f>
        <v/>
      </c>
      <c r="J6" s="18" t="str">
        <f aca="false">IF(I6="","",I6/(1+Parametros!$B$9)-I6*Parametros!$B$7-Parametros!$B$8-G6)</f>
        <v/>
      </c>
      <c r="K6" s="20" t="str">
        <f aca="false">IF(J6="","",IF(G6=0,"",J6/G6))</f>
        <v/>
      </c>
      <c r="L6" s="17" t="str">
        <f aca="false">IF(AND(A6="",D6=""),"",IF(D6="","Preencher custo",IF(E6="","Sem concorrente",IF((FLOOR(E6*(1-Parametros!$B$6)+0.01,1)-0.01)&gt;=(CEILING(H6+0.01,1)-0.01),"Competitivo","Pouco competitivo"))))</f>
        <v>Preencher custo</v>
      </c>
    </row>
    <row r="7" customFormat="false" ht="15" hidden="false" customHeight="false" outlineLevel="0" collapsed="false">
      <c r="A7" s="17" t="s">
        <v>51</v>
      </c>
      <c r="B7" s="17" t="s">
        <v>52</v>
      </c>
      <c r="C7" s="18" t="n">
        <v>19.99</v>
      </c>
      <c r="D7" s="7"/>
      <c r="E7" s="7"/>
      <c r="F7" s="12"/>
      <c r="G7" s="18" t="str">
        <f aca="false">IF(D7="","",D7+Parametros!$B$4)</f>
        <v/>
      </c>
      <c r="H7" s="18" t="str">
        <f aca="false">IF(D7="","",(G7*(1+Parametros!$B$5)+Parametros!$B$8)/(1-Parametros!$B$7)*(1+Parametros!$B$9))</f>
        <v/>
      </c>
      <c r="I7" s="19" t="str">
        <f aca="false">IF(D7="","",IF(E7="",(CEILING(H7+0.01,1)-0.01),MAX((CEILING(H7+0.01,1)-0.01),(FLOOR(E7*(1-Parametros!$B$6)+0.01,1)-0.01))))</f>
        <v/>
      </c>
      <c r="J7" s="18" t="str">
        <f aca="false">IF(I7="","",I7/(1+Parametros!$B$9)-I7*Parametros!$B$7-Parametros!$B$8-G7)</f>
        <v/>
      </c>
      <c r="K7" s="20" t="str">
        <f aca="false">IF(J7="","",IF(G7=0,"",J7/G7))</f>
        <v/>
      </c>
      <c r="L7" s="17" t="str">
        <f aca="false">IF(AND(A7="",D7=""),"",IF(D7="","Preencher custo",IF(E7="","Sem concorrente",IF((FLOOR(E7*(1-Parametros!$B$6)+0.01,1)-0.01)&gt;=(CEILING(H7+0.01,1)-0.01),"Competitivo","Pouco competitivo"))))</f>
        <v>Preencher custo</v>
      </c>
    </row>
    <row r="8" customFormat="false" ht="15" hidden="false" customHeight="false" outlineLevel="0" collapsed="false">
      <c r="A8" s="17" t="s">
        <v>53</v>
      </c>
      <c r="B8" s="17" t="s">
        <v>54</v>
      </c>
      <c r="C8" s="18"/>
      <c r="D8" s="7"/>
      <c r="E8" s="7"/>
      <c r="F8" s="12"/>
      <c r="G8" s="18" t="str">
        <f aca="false">IF(D8="","",D8+Parametros!$B$4)</f>
        <v/>
      </c>
      <c r="H8" s="18" t="str">
        <f aca="false">IF(D8="","",(G8*(1+Parametros!$B$5)+Parametros!$B$8)/(1-Parametros!$B$7)*(1+Parametros!$B$9))</f>
        <v/>
      </c>
      <c r="I8" s="19" t="str">
        <f aca="false">IF(D8="","",IF(E8="",(CEILING(H8+0.01,1)-0.01),MAX((CEILING(H8+0.01,1)-0.01),(FLOOR(E8*(1-Parametros!$B$6)+0.01,1)-0.01))))</f>
        <v/>
      </c>
      <c r="J8" s="18" t="str">
        <f aca="false">IF(I8="","",I8/(1+Parametros!$B$9)-I8*Parametros!$B$7-Parametros!$B$8-G8)</f>
        <v/>
      </c>
      <c r="K8" s="20" t="str">
        <f aca="false">IF(J8="","",IF(G8=0,"",J8/G8))</f>
        <v/>
      </c>
      <c r="L8" s="17" t="str">
        <f aca="false">IF(AND(A8="",D8=""),"",IF(D8="","Preencher custo",IF(E8="","Sem concorrente",IF((FLOOR(E8*(1-Parametros!$B$6)+0.01,1)-0.01)&gt;=(CEILING(H8+0.01,1)-0.01),"Competitivo","Pouco competitivo"))))</f>
        <v>Preencher custo</v>
      </c>
    </row>
    <row r="9" customFormat="false" ht="15" hidden="false" customHeight="false" outlineLevel="0" collapsed="false">
      <c r="A9" s="17" t="s">
        <v>55</v>
      </c>
      <c r="B9" s="17" t="s">
        <v>56</v>
      </c>
      <c r="C9" s="18"/>
      <c r="D9" s="7"/>
      <c r="E9" s="7"/>
      <c r="F9" s="12"/>
      <c r="G9" s="18" t="str">
        <f aca="false">IF(D9="","",D9+Parametros!$B$4)</f>
        <v/>
      </c>
      <c r="H9" s="18" t="str">
        <f aca="false">IF(D9="","",(G9*(1+Parametros!$B$5)+Parametros!$B$8)/(1-Parametros!$B$7)*(1+Parametros!$B$9))</f>
        <v/>
      </c>
      <c r="I9" s="19" t="str">
        <f aca="false">IF(D9="","",IF(E9="",(CEILING(H9+0.01,1)-0.01),MAX((CEILING(H9+0.01,1)-0.01),(FLOOR(E9*(1-Parametros!$B$6)+0.01,1)-0.01))))</f>
        <v/>
      </c>
      <c r="J9" s="18" t="str">
        <f aca="false">IF(I9="","",I9/(1+Parametros!$B$9)-I9*Parametros!$B$7-Parametros!$B$8-G9)</f>
        <v/>
      </c>
      <c r="K9" s="20" t="str">
        <f aca="false">IF(J9="","",IF(G9=0,"",J9/G9))</f>
        <v/>
      </c>
      <c r="L9" s="17" t="str">
        <f aca="false">IF(AND(A9="",D9=""),"",IF(D9="","Preencher custo",IF(E9="","Sem concorrente",IF((FLOOR(E9*(1-Parametros!$B$6)+0.01,1)-0.01)&gt;=(CEILING(H9+0.01,1)-0.01),"Competitivo","Pouco competitivo"))))</f>
        <v>Preencher custo</v>
      </c>
    </row>
    <row r="10" customFormat="false" ht="15" hidden="false" customHeight="false" outlineLevel="0" collapsed="false">
      <c r="A10" s="17"/>
      <c r="B10" s="17"/>
      <c r="C10" s="18"/>
      <c r="D10" s="7"/>
      <c r="E10" s="7"/>
      <c r="F10" s="12"/>
      <c r="G10" s="18" t="str">
        <f aca="false">IF(D10="","",D10+Parametros!$B$4)</f>
        <v/>
      </c>
      <c r="H10" s="18" t="str">
        <f aca="false">IF(D10="","",(G10*(1+Parametros!$B$5)+Parametros!$B$8)/(1-Parametros!$B$7)*(1+Parametros!$B$9))</f>
        <v/>
      </c>
      <c r="I10" s="19" t="str">
        <f aca="false">IF(D10="","",IF(E10="",(CEILING(H10+0.01,1)-0.01),MAX((CEILING(H10+0.01,1)-0.01),(FLOOR(E10*(1-Parametros!$B$6)+0.01,1)-0.01))))</f>
        <v/>
      </c>
      <c r="J10" s="18" t="str">
        <f aca="false">IF(I10="","",I10/(1+Parametros!$B$9)-I10*Parametros!$B$7-Parametros!$B$8-G10)</f>
        <v/>
      </c>
      <c r="K10" s="20" t="str">
        <f aca="false">IF(J10="","",IF(G10=0,"",J10/G10))</f>
        <v/>
      </c>
      <c r="L10" s="17" t="str">
        <f aca="false">IF(AND(A10="",D10=""),"",IF(D10="","Preencher custo",IF(E10="","Sem concorrente",IF((FLOOR(E10*(1-Parametros!$B$6)+0.01,1)-0.01)&gt;=(CEILING(H10+0.01,1)-0.01),"Competitivo","Pouco competitivo"))))</f>
        <v/>
      </c>
    </row>
    <row r="11" customFormat="false" ht="15" hidden="false" customHeight="false" outlineLevel="0" collapsed="false">
      <c r="A11" s="17"/>
      <c r="B11" s="17"/>
      <c r="C11" s="18"/>
      <c r="D11" s="7"/>
      <c r="E11" s="7"/>
      <c r="F11" s="12"/>
      <c r="G11" s="18" t="str">
        <f aca="false">IF(D11="","",D11+Parametros!$B$4)</f>
        <v/>
      </c>
      <c r="H11" s="18" t="str">
        <f aca="false">IF(D11="","",(G11*(1+Parametros!$B$5)+Parametros!$B$8)/(1-Parametros!$B$7)*(1+Parametros!$B$9))</f>
        <v/>
      </c>
      <c r="I11" s="19" t="str">
        <f aca="false">IF(D11="","",IF(E11="",(CEILING(H11+0.01,1)-0.01),MAX((CEILING(H11+0.01,1)-0.01),(FLOOR(E11*(1-Parametros!$B$6)+0.01,1)-0.01))))</f>
        <v/>
      </c>
      <c r="J11" s="18" t="str">
        <f aca="false">IF(I11="","",I11/(1+Parametros!$B$9)-I11*Parametros!$B$7-Parametros!$B$8-G11)</f>
        <v/>
      </c>
      <c r="K11" s="20" t="str">
        <f aca="false">IF(J11="","",IF(G11=0,"",J11/G11))</f>
        <v/>
      </c>
      <c r="L11" s="17" t="str">
        <f aca="false">IF(AND(A11="",D11=""),"",IF(D11="","Preencher custo",IF(E11="","Sem concorrente",IF((FLOOR(E11*(1-Parametros!$B$6)+0.01,1)-0.01)&gt;=(CEILING(H11+0.01,1)-0.01),"Competitivo","Pouco competitivo"))))</f>
        <v/>
      </c>
    </row>
    <row r="12" customFormat="false" ht="15" hidden="false" customHeight="false" outlineLevel="0" collapsed="false">
      <c r="A12" s="17"/>
      <c r="B12" s="17"/>
      <c r="C12" s="18"/>
      <c r="D12" s="7"/>
      <c r="E12" s="7"/>
      <c r="F12" s="12"/>
      <c r="G12" s="18" t="str">
        <f aca="false">IF(D12="","",D12+Parametros!$B$4)</f>
        <v/>
      </c>
      <c r="H12" s="18" t="str">
        <f aca="false">IF(D12="","",(G12*(1+Parametros!$B$5)+Parametros!$B$8)/(1-Parametros!$B$7)*(1+Parametros!$B$9))</f>
        <v/>
      </c>
      <c r="I12" s="19" t="str">
        <f aca="false">IF(D12="","",IF(E12="",(CEILING(H12+0.01,1)-0.01),MAX((CEILING(H12+0.01,1)-0.01),(FLOOR(E12*(1-Parametros!$B$6)+0.01,1)-0.01))))</f>
        <v/>
      </c>
      <c r="J12" s="18" t="str">
        <f aca="false">IF(I12="","",I12/(1+Parametros!$B$9)-I12*Parametros!$B$7-Parametros!$B$8-G12)</f>
        <v/>
      </c>
      <c r="K12" s="20" t="str">
        <f aca="false">IF(J12="","",IF(G12=0,"",J12/G12))</f>
        <v/>
      </c>
      <c r="L12" s="17" t="str">
        <f aca="false">IF(AND(A12="",D12=""),"",IF(D12="","Preencher custo",IF(E12="","Sem concorrente",IF((FLOOR(E12*(1-Parametros!$B$6)+0.01,1)-0.01)&gt;=(CEILING(H12+0.01,1)-0.01),"Competitivo","Pouco competitivo"))))</f>
        <v/>
      </c>
    </row>
    <row r="13" customFormat="false" ht="15" hidden="false" customHeight="false" outlineLevel="0" collapsed="false">
      <c r="A13" s="17"/>
      <c r="B13" s="17"/>
      <c r="C13" s="18"/>
      <c r="D13" s="7"/>
      <c r="E13" s="7"/>
      <c r="F13" s="12"/>
      <c r="G13" s="18" t="str">
        <f aca="false">IF(D13="","",D13+Parametros!$B$4)</f>
        <v/>
      </c>
      <c r="H13" s="18" t="str">
        <f aca="false">IF(D13="","",(G13*(1+Parametros!$B$5)+Parametros!$B$8)/(1-Parametros!$B$7)*(1+Parametros!$B$9))</f>
        <v/>
      </c>
      <c r="I13" s="19" t="str">
        <f aca="false">IF(D13="","",IF(E13="",(CEILING(H13+0.01,1)-0.01),MAX((CEILING(H13+0.01,1)-0.01),(FLOOR(E13*(1-Parametros!$B$6)+0.01,1)-0.01))))</f>
        <v/>
      </c>
      <c r="J13" s="18" t="str">
        <f aca="false">IF(I13="","",I13/(1+Parametros!$B$9)-I13*Parametros!$B$7-Parametros!$B$8-G13)</f>
        <v/>
      </c>
      <c r="K13" s="20" t="str">
        <f aca="false">IF(J13="","",IF(G13=0,"",J13/G13))</f>
        <v/>
      </c>
      <c r="L13" s="17" t="str">
        <f aca="false">IF(AND(A13="",D13=""),"",IF(D13="","Preencher custo",IF(E13="","Sem concorrente",IF((FLOOR(E13*(1-Parametros!$B$6)+0.01,1)-0.01)&gt;=(CEILING(H13+0.01,1)-0.01),"Competitivo","Pouco competitivo"))))</f>
        <v/>
      </c>
    </row>
    <row r="14" customFormat="false" ht="15" hidden="false" customHeight="false" outlineLevel="0" collapsed="false">
      <c r="A14" s="17"/>
      <c r="B14" s="17"/>
      <c r="C14" s="18"/>
      <c r="D14" s="7"/>
      <c r="E14" s="7"/>
      <c r="F14" s="12"/>
      <c r="G14" s="18" t="str">
        <f aca="false">IF(D14="","",D14+Parametros!$B$4)</f>
        <v/>
      </c>
      <c r="H14" s="18" t="str">
        <f aca="false">IF(D14="","",(G14*(1+Parametros!$B$5)+Parametros!$B$8)/(1-Parametros!$B$7)*(1+Parametros!$B$9))</f>
        <v/>
      </c>
      <c r="I14" s="19" t="str">
        <f aca="false">IF(D14="","",IF(E14="",(CEILING(H14+0.01,1)-0.01),MAX((CEILING(H14+0.01,1)-0.01),(FLOOR(E14*(1-Parametros!$B$6)+0.01,1)-0.01))))</f>
        <v/>
      </c>
      <c r="J14" s="18" t="str">
        <f aca="false">IF(I14="","",I14/(1+Parametros!$B$9)-I14*Parametros!$B$7-Parametros!$B$8-G14)</f>
        <v/>
      </c>
      <c r="K14" s="20" t="str">
        <f aca="false">IF(J14="","",IF(G14=0,"",J14/G14))</f>
        <v/>
      </c>
      <c r="L14" s="17" t="str">
        <f aca="false">IF(AND(A14="",D14=""),"",IF(D14="","Preencher custo",IF(E14="","Sem concorrente",IF((FLOOR(E14*(1-Parametros!$B$6)+0.01,1)-0.01)&gt;=(CEILING(H14+0.01,1)-0.01),"Competitivo","Pouco competitivo"))))</f>
        <v/>
      </c>
    </row>
    <row r="15" customFormat="false" ht="15" hidden="false" customHeight="false" outlineLevel="0" collapsed="false">
      <c r="A15" s="17"/>
      <c r="B15" s="17"/>
      <c r="C15" s="18"/>
      <c r="D15" s="7"/>
      <c r="E15" s="7"/>
      <c r="F15" s="12"/>
      <c r="G15" s="18" t="str">
        <f aca="false">IF(D15="","",D15+Parametros!$B$4)</f>
        <v/>
      </c>
      <c r="H15" s="18" t="str">
        <f aca="false">IF(D15="","",(G15*(1+Parametros!$B$5)+Parametros!$B$8)/(1-Parametros!$B$7)*(1+Parametros!$B$9))</f>
        <v/>
      </c>
      <c r="I15" s="19" t="str">
        <f aca="false">IF(D15="","",IF(E15="",(CEILING(H15+0.01,1)-0.01),MAX((CEILING(H15+0.01,1)-0.01),(FLOOR(E15*(1-Parametros!$B$6)+0.01,1)-0.01))))</f>
        <v/>
      </c>
      <c r="J15" s="18" t="str">
        <f aca="false">IF(I15="","",I15/(1+Parametros!$B$9)-I15*Parametros!$B$7-Parametros!$B$8-G15)</f>
        <v/>
      </c>
      <c r="K15" s="20" t="str">
        <f aca="false">IF(J15="","",IF(G15=0,"",J15/G15))</f>
        <v/>
      </c>
      <c r="L15" s="17" t="str">
        <f aca="false">IF(AND(A15="",D15=""),"",IF(D15="","Preencher custo",IF(E15="","Sem concorrente",IF((FLOOR(E15*(1-Parametros!$B$6)+0.01,1)-0.01)&gt;=(CEILING(H15+0.01,1)-0.01),"Competitivo","Pouco competitivo"))))</f>
        <v/>
      </c>
    </row>
    <row r="16" customFormat="false" ht="15" hidden="false" customHeight="false" outlineLevel="0" collapsed="false">
      <c r="A16" s="17"/>
      <c r="B16" s="17"/>
      <c r="C16" s="18"/>
      <c r="D16" s="7"/>
      <c r="E16" s="7"/>
      <c r="F16" s="12"/>
      <c r="G16" s="18" t="str">
        <f aca="false">IF(D16="","",D16+Parametros!$B$4)</f>
        <v/>
      </c>
      <c r="H16" s="18" t="str">
        <f aca="false">IF(D16="","",(G16*(1+Parametros!$B$5)+Parametros!$B$8)/(1-Parametros!$B$7)*(1+Parametros!$B$9))</f>
        <v/>
      </c>
      <c r="I16" s="19" t="str">
        <f aca="false">IF(D16="","",IF(E16="",(CEILING(H16+0.01,1)-0.01),MAX((CEILING(H16+0.01,1)-0.01),(FLOOR(E16*(1-Parametros!$B$6)+0.01,1)-0.01))))</f>
        <v/>
      </c>
      <c r="J16" s="18" t="str">
        <f aca="false">IF(I16="","",I16/(1+Parametros!$B$9)-I16*Parametros!$B$7-Parametros!$B$8-G16)</f>
        <v/>
      </c>
      <c r="K16" s="20" t="str">
        <f aca="false">IF(J16="","",IF(G16=0,"",J16/G16))</f>
        <v/>
      </c>
      <c r="L16" s="17" t="str">
        <f aca="false">IF(AND(A16="",D16=""),"",IF(D16="","Preencher custo",IF(E16="","Sem concorrente",IF((FLOOR(E16*(1-Parametros!$B$6)+0.01,1)-0.01)&gt;=(CEILING(H16+0.01,1)-0.01),"Competitivo","Pouco competitivo"))))</f>
        <v/>
      </c>
    </row>
    <row r="17" customFormat="false" ht="15" hidden="false" customHeight="false" outlineLevel="0" collapsed="false">
      <c r="A17" s="17"/>
      <c r="B17" s="17"/>
      <c r="C17" s="18"/>
      <c r="D17" s="7"/>
      <c r="E17" s="7"/>
      <c r="F17" s="12"/>
      <c r="G17" s="18" t="str">
        <f aca="false">IF(D17="","",D17+Parametros!$B$4)</f>
        <v/>
      </c>
      <c r="H17" s="18" t="str">
        <f aca="false">IF(D17="","",(G17*(1+Parametros!$B$5)+Parametros!$B$8)/(1-Parametros!$B$7)*(1+Parametros!$B$9))</f>
        <v/>
      </c>
      <c r="I17" s="19" t="str">
        <f aca="false">IF(D17="","",IF(E17="",(CEILING(H17+0.01,1)-0.01),MAX((CEILING(H17+0.01,1)-0.01),(FLOOR(E17*(1-Parametros!$B$6)+0.01,1)-0.01))))</f>
        <v/>
      </c>
      <c r="J17" s="18" t="str">
        <f aca="false">IF(I17="","",I17/(1+Parametros!$B$9)-I17*Parametros!$B$7-Parametros!$B$8-G17)</f>
        <v/>
      </c>
      <c r="K17" s="20" t="str">
        <f aca="false">IF(J17="","",IF(G17=0,"",J17/G17))</f>
        <v/>
      </c>
      <c r="L17" s="17" t="str">
        <f aca="false">IF(AND(A17="",D17=""),"",IF(D17="","Preencher custo",IF(E17="","Sem concorrente",IF((FLOOR(E17*(1-Parametros!$B$6)+0.01,1)-0.01)&gt;=(CEILING(H17+0.01,1)-0.01),"Competitivo","Pouco competitivo"))))</f>
        <v/>
      </c>
    </row>
    <row r="18" customFormat="false" ht="15" hidden="false" customHeight="false" outlineLevel="0" collapsed="false">
      <c r="A18" s="17"/>
      <c r="B18" s="17"/>
      <c r="C18" s="18"/>
      <c r="D18" s="7"/>
      <c r="E18" s="7"/>
      <c r="F18" s="12"/>
      <c r="G18" s="18" t="str">
        <f aca="false">IF(D18="","",D18+Parametros!$B$4)</f>
        <v/>
      </c>
      <c r="H18" s="18" t="str">
        <f aca="false">IF(D18="","",(G18*(1+Parametros!$B$5)+Parametros!$B$8)/(1-Parametros!$B$7)*(1+Parametros!$B$9))</f>
        <v/>
      </c>
      <c r="I18" s="19" t="str">
        <f aca="false">IF(D18="","",IF(E18="",(CEILING(H18+0.01,1)-0.01),MAX((CEILING(H18+0.01,1)-0.01),(FLOOR(E18*(1-Parametros!$B$6)+0.01,1)-0.01))))</f>
        <v/>
      </c>
      <c r="J18" s="18" t="str">
        <f aca="false">IF(I18="","",I18/(1+Parametros!$B$9)-I18*Parametros!$B$7-Parametros!$B$8-G18)</f>
        <v/>
      </c>
      <c r="K18" s="20" t="str">
        <f aca="false">IF(J18="","",IF(G18=0,"",J18/G18))</f>
        <v/>
      </c>
      <c r="L18" s="17" t="str">
        <f aca="false">IF(AND(A18="",D18=""),"",IF(D18="","Preencher custo",IF(E18="","Sem concorrente",IF((FLOOR(E18*(1-Parametros!$B$6)+0.01,1)-0.01)&gt;=(CEILING(H18+0.01,1)-0.01),"Competitivo","Pouco competitivo"))))</f>
        <v/>
      </c>
    </row>
    <row r="19" customFormat="false" ht="15" hidden="false" customHeight="false" outlineLevel="0" collapsed="false">
      <c r="A19" s="17"/>
      <c r="B19" s="17"/>
      <c r="C19" s="18"/>
      <c r="D19" s="7"/>
      <c r="E19" s="7"/>
      <c r="F19" s="12"/>
      <c r="G19" s="18" t="str">
        <f aca="false">IF(D19="","",D19+Parametros!$B$4)</f>
        <v/>
      </c>
      <c r="H19" s="18" t="str">
        <f aca="false">IF(D19="","",(G19*(1+Parametros!$B$5)+Parametros!$B$8)/(1-Parametros!$B$7)*(1+Parametros!$B$9))</f>
        <v/>
      </c>
      <c r="I19" s="19" t="str">
        <f aca="false">IF(D19="","",IF(E19="",(CEILING(H19+0.01,1)-0.01),MAX((CEILING(H19+0.01,1)-0.01),(FLOOR(E19*(1-Parametros!$B$6)+0.01,1)-0.01))))</f>
        <v/>
      </c>
      <c r="J19" s="18" t="str">
        <f aca="false">IF(I19="","",I19/(1+Parametros!$B$9)-I19*Parametros!$B$7-Parametros!$B$8-G19)</f>
        <v/>
      </c>
      <c r="K19" s="20" t="str">
        <f aca="false">IF(J19="","",IF(G19=0,"",J19/G19))</f>
        <v/>
      </c>
      <c r="L19" s="17" t="str">
        <f aca="false">IF(AND(A19="",D19=""),"",IF(D19="","Preencher custo",IF(E19="","Sem concorrente",IF((FLOOR(E19*(1-Parametros!$B$6)+0.01,1)-0.01)&gt;=(CEILING(H19+0.01,1)-0.01),"Competitivo","Pouco competitivo"))))</f>
        <v/>
      </c>
    </row>
    <row r="20" customFormat="false" ht="15" hidden="false" customHeight="false" outlineLevel="0" collapsed="false">
      <c r="A20" s="17"/>
      <c r="B20" s="17"/>
      <c r="C20" s="18"/>
      <c r="D20" s="7"/>
      <c r="E20" s="7"/>
      <c r="F20" s="12"/>
      <c r="G20" s="18" t="str">
        <f aca="false">IF(D20="","",D20+Parametros!$B$4)</f>
        <v/>
      </c>
      <c r="H20" s="18" t="str">
        <f aca="false">IF(D20="","",(G20*(1+Parametros!$B$5)+Parametros!$B$8)/(1-Parametros!$B$7)*(1+Parametros!$B$9))</f>
        <v/>
      </c>
      <c r="I20" s="19" t="str">
        <f aca="false">IF(D20="","",IF(E20="",(CEILING(H20+0.01,1)-0.01),MAX((CEILING(H20+0.01,1)-0.01),(FLOOR(E20*(1-Parametros!$B$6)+0.01,1)-0.01))))</f>
        <v/>
      </c>
      <c r="J20" s="18" t="str">
        <f aca="false">IF(I20="","",I20/(1+Parametros!$B$9)-I20*Parametros!$B$7-Parametros!$B$8-G20)</f>
        <v/>
      </c>
      <c r="K20" s="20" t="str">
        <f aca="false">IF(J20="","",IF(G20=0,"",J20/G20))</f>
        <v/>
      </c>
      <c r="L20" s="17" t="str">
        <f aca="false">IF(AND(A20="",D20=""),"",IF(D20="","Preencher custo",IF(E20="","Sem concorrente",IF((FLOOR(E20*(1-Parametros!$B$6)+0.01,1)-0.01)&gt;=(CEILING(H20+0.01,1)-0.01),"Competitivo","Pouco competitivo"))))</f>
        <v/>
      </c>
    </row>
    <row r="21" customFormat="false" ht="15" hidden="false" customHeight="false" outlineLevel="0" collapsed="false">
      <c r="A21" s="17"/>
      <c r="B21" s="17"/>
      <c r="C21" s="18"/>
      <c r="D21" s="7"/>
      <c r="E21" s="7"/>
      <c r="F21" s="12"/>
      <c r="G21" s="18" t="str">
        <f aca="false">IF(D21="","",D21+Parametros!$B$4)</f>
        <v/>
      </c>
      <c r="H21" s="18" t="str">
        <f aca="false">IF(D21="","",(G21*(1+Parametros!$B$5)+Parametros!$B$8)/(1-Parametros!$B$7)*(1+Parametros!$B$9))</f>
        <v/>
      </c>
      <c r="I21" s="19" t="str">
        <f aca="false">IF(D21="","",IF(E21="",(CEILING(H21+0.01,1)-0.01),MAX((CEILING(H21+0.01,1)-0.01),(FLOOR(E21*(1-Parametros!$B$6)+0.01,1)-0.01))))</f>
        <v/>
      </c>
      <c r="J21" s="18" t="str">
        <f aca="false">IF(I21="","",I21/(1+Parametros!$B$9)-I21*Parametros!$B$7-Parametros!$B$8-G21)</f>
        <v/>
      </c>
      <c r="K21" s="20" t="str">
        <f aca="false">IF(J21="","",IF(G21=0,"",J21/G21))</f>
        <v/>
      </c>
      <c r="L21" s="17" t="str">
        <f aca="false">IF(AND(A21="",D21=""),"",IF(D21="","Preencher custo",IF(E21="","Sem concorrente",IF((FLOOR(E21*(1-Parametros!$B$6)+0.01,1)-0.01)&gt;=(CEILING(H21+0.01,1)-0.01),"Competitivo","Pouco competitivo"))))</f>
        <v/>
      </c>
    </row>
    <row r="22" customFormat="false" ht="15" hidden="false" customHeight="false" outlineLevel="0" collapsed="false">
      <c r="A22" s="17"/>
      <c r="B22" s="17"/>
      <c r="C22" s="18"/>
      <c r="D22" s="7"/>
      <c r="E22" s="7"/>
      <c r="F22" s="12"/>
      <c r="G22" s="18" t="str">
        <f aca="false">IF(D22="","",D22+Parametros!$B$4)</f>
        <v/>
      </c>
      <c r="H22" s="18" t="str">
        <f aca="false">IF(D22="","",(G22*(1+Parametros!$B$5)+Parametros!$B$8)/(1-Parametros!$B$7)*(1+Parametros!$B$9))</f>
        <v/>
      </c>
      <c r="I22" s="19" t="str">
        <f aca="false">IF(D22="","",IF(E22="",(CEILING(H22+0.01,1)-0.01),MAX((CEILING(H22+0.01,1)-0.01),(FLOOR(E22*(1-Parametros!$B$6)+0.01,1)-0.01))))</f>
        <v/>
      </c>
      <c r="J22" s="18" t="str">
        <f aca="false">IF(I22="","",I22/(1+Parametros!$B$9)-I22*Parametros!$B$7-Parametros!$B$8-G22)</f>
        <v/>
      </c>
      <c r="K22" s="20" t="str">
        <f aca="false">IF(J22="","",IF(G22=0,"",J22/G22))</f>
        <v/>
      </c>
      <c r="L22" s="17" t="str">
        <f aca="false">IF(AND(A22="",D22=""),"",IF(D22="","Preencher custo",IF(E22="","Sem concorrente",IF((FLOOR(E22*(1-Parametros!$B$6)+0.01,1)-0.01)&gt;=(CEILING(H22+0.01,1)-0.01),"Competitivo","Pouco competitivo"))))</f>
        <v/>
      </c>
    </row>
    <row r="23" customFormat="false" ht="15" hidden="false" customHeight="false" outlineLevel="0" collapsed="false">
      <c r="A23" s="17"/>
      <c r="B23" s="17"/>
      <c r="C23" s="18"/>
      <c r="D23" s="7"/>
      <c r="E23" s="7"/>
      <c r="F23" s="12"/>
      <c r="G23" s="18" t="str">
        <f aca="false">IF(D23="","",D23+Parametros!$B$4)</f>
        <v/>
      </c>
      <c r="H23" s="18" t="str">
        <f aca="false">IF(D23="","",(G23*(1+Parametros!$B$5)+Parametros!$B$8)/(1-Parametros!$B$7)*(1+Parametros!$B$9))</f>
        <v/>
      </c>
      <c r="I23" s="19" t="str">
        <f aca="false">IF(D23="","",IF(E23="",(CEILING(H23+0.01,1)-0.01),MAX((CEILING(H23+0.01,1)-0.01),(FLOOR(E23*(1-Parametros!$B$6)+0.01,1)-0.01))))</f>
        <v/>
      </c>
      <c r="J23" s="18" t="str">
        <f aca="false">IF(I23="","",I23/(1+Parametros!$B$9)-I23*Parametros!$B$7-Parametros!$B$8-G23)</f>
        <v/>
      </c>
      <c r="K23" s="20" t="str">
        <f aca="false">IF(J23="","",IF(G23=0,"",J23/G23))</f>
        <v/>
      </c>
      <c r="L23" s="17" t="str">
        <f aca="false">IF(AND(A23="",D23=""),"",IF(D23="","Preencher custo",IF(E23="","Sem concorrente",IF((FLOOR(E23*(1-Parametros!$B$6)+0.01,1)-0.01)&gt;=(CEILING(H23+0.01,1)-0.01),"Competitivo","Pouco competitivo"))))</f>
        <v/>
      </c>
    </row>
    <row r="24" customFormat="false" ht="15" hidden="false" customHeight="false" outlineLevel="0" collapsed="false">
      <c r="A24" s="17"/>
      <c r="B24" s="17"/>
      <c r="C24" s="18"/>
      <c r="D24" s="7"/>
      <c r="E24" s="7"/>
      <c r="F24" s="12"/>
      <c r="G24" s="18" t="str">
        <f aca="false">IF(D24="","",D24+Parametros!$B$4)</f>
        <v/>
      </c>
      <c r="H24" s="18" t="str">
        <f aca="false">IF(D24="","",(G24*(1+Parametros!$B$5)+Parametros!$B$8)/(1-Parametros!$B$7)*(1+Parametros!$B$9))</f>
        <v/>
      </c>
      <c r="I24" s="19" t="str">
        <f aca="false">IF(D24="","",IF(E24="",(CEILING(H24+0.01,1)-0.01),MAX((CEILING(H24+0.01,1)-0.01),(FLOOR(E24*(1-Parametros!$B$6)+0.01,1)-0.01))))</f>
        <v/>
      </c>
      <c r="J24" s="18" t="str">
        <f aca="false">IF(I24="","",I24/(1+Parametros!$B$9)-I24*Parametros!$B$7-Parametros!$B$8-G24)</f>
        <v/>
      </c>
      <c r="K24" s="20" t="str">
        <f aca="false">IF(J24="","",IF(G24=0,"",J24/G24))</f>
        <v/>
      </c>
      <c r="L24" s="17" t="str">
        <f aca="false">IF(AND(A24="",D24=""),"",IF(D24="","Preencher custo",IF(E24="","Sem concorrente",IF((FLOOR(E24*(1-Parametros!$B$6)+0.01,1)-0.01)&gt;=(CEILING(H24+0.01,1)-0.01),"Competitivo","Pouco competitivo"))))</f>
        <v/>
      </c>
    </row>
    <row r="25" customFormat="false" ht="15" hidden="false" customHeight="false" outlineLevel="0" collapsed="false">
      <c r="A25" s="17"/>
      <c r="B25" s="17"/>
      <c r="C25" s="18"/>
      <c r="D25" s="7"/>
      <c r="E25" s="7"/>
      <c r="F25" s="12"/>
      <c r="G25" s="18" t="str">
        <f aca="false">IF(D25="","",D25+Parametros!$B$4)</f>
        <v/>
      </c>
      <c r="H25" s="18" t="str">
        <f aca="false">IF(D25="","",(G25*(1+Parametros!$B$5)+Parametros!$B$8)/(1-Parametros!$B$7)*(1+Parametros!$B$9))</f>
        <v/>
      </c>
      <c r="I25" s="19" t="str">
        <f aca="false">IF(D25="","",IF(E25="",(CEILING(H25+0.01,1)-0.01),MAX((CEILING(H25+0.01,1)-0.01),(FLOOR(E25*(1-Parametros!$B$6)+0.01,1)-0.01))))</f>
        <v/>
      </c>
      <c r="J25" s="18" t="str">
        <f aca="false">IF(I25="","",I25/(1+Parametros!$B$9)-I25*Parametros!$B$7-Parametros!$B$8-G25)</f>
        <v/>
      </c>
      <c r="K25" s="20" t="str">
        <f aca="false">IF(J25="","",IF(G25=0,"",J25/G25))</f>
        <v/>
      </c>
      <c r="L25" s="17" t="str">
        <f aca="false">IF(AND(A25="",D25=""),"",IF(D25="","Preencher custo",IF(E25="","Sem concorrente",IF((FLOOR(E25*(1-Parametros!$B$6)+0.01,1)-0.01)&gt;=(CEILING(H25+0.01,1)-0.01),"Competitivo","Pouco competitivo"))))</f>
        <v/>
      </c>
    </row>
    <row r="26" customFormat="false" ht="15" hidden="false" customHeight="false" outlineLevel="0" collapsed="false">
      <c r="A26" s="17"/>
      <c r="B26" s="17"/>
      <c r="C26" s="18"/>
      <c r="D26" s="7"/>
      <c r="E26" s="7"/>
      <c r="F26" s="12"/>
      <c r="G26" s="18" t="str">
        <f aca="false">IF(D26="","",D26+Parametros!$B$4)</f>
        <v/>
      </c>
      <c r="H26" s="18" t="str">
        <f aca="false">IF(D26="","",(G26*(1+Parametros!$B$5)+Parametros!$B$8)/(1-Parametros!$B$7)*(1+Parametros!$B$9))</f>
        <v/>
      </c>
      <c r="I26" s="19" t="str">
        <f aca="false">IF(D26="","",IF(E26="",(CEILING(H26+0.01,1)-0.01),MAX((CEILING(H26+0.01,1)-0.01),(FLOOR(E26*(1-Parametros!$B$6)+0.01,1)-0.01))))</f>
        <v/>
      </c>
      <c r="J26" s="18" t="str">
        <f aca="false">IF(I26="","",I26/(1+Parametros!$B$9)-I26*Parametros!$B$7-Parametros!$B$8-G26)</f>
        <v/>
      </c>
      <c r="K26" s="20" t="str">
        <f aca="false">IF(J26="","",IF(G26=0,"",J26/G26))</f>
        <v/>
      </c>
      <c r="L26" s="17" t="str">
        <f aca="false">IF(AND(A26="",D26=""),"",IF(D26="","Preencher custo",IF(E26="","Sem concorrente",IF((FLOOR(E26*(1-Parametros!$B$6)+0.01,1)-0.01)&gt;=(CEILING(H26+0.01,1)-0.01),"Competitivo","Pouco competitivo"))))</f>
        <v/>
      </c>
    </row>
    <row r="27" customFormat="false" ht="15" hidden="false" customHeight="false" outlineLevel="0" collapsed="false">
      <c r="A27" s="17"/>
      <c r="B27" s="17"/>
      <c r="C27" s="18"/>
      <c r="D27" s="7"/>
      <c r="E27" s="7"/>
      <c r="F27" s="12"/>
      <c r="G27" s="18" t="str">
        <f aca="false">IF(D27="","",D27+Parametros!$B$4)</f>
        <v/>
      </c>
      <c r="H27" s="18" t="str">
        <f aca="false">IF(D27="","",(G27*(1+Parametros!$B$5)+Parametros!$B$8)/(1-Parametros!$B$7)*(1+Parametros!$B$9))</f>
        <v/>
      </c>
      <c r="I27" s="19" t="str">
        <f aca="false">IF(D27="","",IF(E27="",(CEILING(H27+0.01,1)-0.01),MAX((CEILING(H27+0.01,1)-0.01),(FLOOR(E27*(1-Parametros!$B$6)+0.01,1)-0.01))))</f>
        <v/>
      </c>
      <c r="J27" s="18" t="str">
        <f aca="false">IF(I27="","",I27/(1+Parametros!$B$9)-I27*Parametros!$B$7-Parametros!$B$8-G27)</f>
        <v/>
      </c>
      <c r="K27" s="20" t="str">
        <f aca="false">IF(J27="","",IF(G27=0,"",J27/G27))</f>
        <v/>
      </c>
      <c r="L27" s="17" t="str">
        <f aca="false">IF(AND(A27="",D27=""),"",IF(D27="","Preencher custo",IF(E27="","Sem concorrente",IF((FLOOR(E27*(1-Parametros!$B$6)+0.01,1)-0.01)&gt;=(CEILING(H27+0.01,1)-0.01),"Competitivo","Pouco competitivo"))))</f>
        <v/>
      </c>
    </row>
    <row r="28" customFormat="false" ht="15" hidden="false" customHeight="false" outlineLevel="0" collapsed="false">
      <c r="A28" s="17"/>
      <c r="B28" s="17"/>
      <c r="C28" s="18"/>
      <c r="D28" s="7"/>
      <c r="E28" s="7"/>
      <c r="F28" s="12"/>
      <c r="G28" s="18" t="str">
        <f aca="false">IF(D28="","",D28+Parametros!$B$4)</f>
        <v/>
      </c>
      <c r="H28" s="18" t="str">
        <f aca="false">IF(D28="","",(G28*(1+Parametros!$B$5)+Parametros!$B$8)/(1-Parametros!$B$7)*(1+Parametros!$B$9))</f>
        <v/>
      </c>
      <c r="I28" s="19" t="str">
        <f aca="false">IF(D28="","",IF(E28="",(CEILING(H28+0.01,1)-0.01),MAX((CEILING(H28+0.01,1)-0.01),(FLOOR(E28*(1-Parametros!$B$6)+0.01,1)-0.01))))</f>
        <v/>
      </c>
      <c r="J28" s="18" t="str">
        <f aca="false">IF(I28="","",I28/(1+Parametros!$B$9)-I28*Parametros!$B$7-Parametros!$B$8-G28)</f>
        <v/>
      </c>
      <c r="K28" s="20" t="str">
        <f aca="false">IF(J28="","",IF(G28=0,"",J28/G28))</f>
        <v/>
      </c>
      <c r="L28" s="17" t="str">
        <f aca="false">IF(AND(A28="",D28=""),"",IF(D28="","Preencher custo",IF(E28="","Sem concorrente",IF((FLOOR(E28*(1-Parametros!$B$6)+0.01,1)-0.01)&gt;=(CEILING(H28+0.01,1)-0.01),"Competitivo","Pouco competitivo"))))</f>
        <v/>
      </c>
    </row>
    <row r="29" customFormat="false" ht="15" hidden="false" customHeight="false" outlineLevel="0" collapsed="false">
      <c r="A29" s="17"/>
      <c r="B29" s="17"/>
      <c r="C29" s="18"/>
      <c r="D29" s="7"/>
      <c r="E29" s="7"/>
      <c r="F29" s="12"/>
      <c r="G29" s="18" t="str">
        <f aca="false">IF(D29="","",D29+Parametros!$B$4)</f>
        <v/>
      </c>
      <c r="H29" s="18" t="str">
        <f aca="false">IF(D29="","",(G29*(1+Parametros!$B$5)+Parametros!$B$8)/(1-Parametros!$B$7)*(1+Parametros!$B$9))</f>
        <v/>
      </c>
      <c r="I29" s="19" t="str">
        <f aca="false">IF(D29="","",IF(E29="",(CEILING(H29+0.01,1)-0.01),MAX((CEILING(H29+0.01,1)-0.01),(FLOOR(E29*(1-Parametros!$B$6)+0.01,1)-0.01))))</f>
        <v/>
      </c>
      <c r="J29" s="18" t="str">
        <f aca="false">IF(I29="","",I29/(1+Parametros!$B$9)-I29*Parametros!$B$7-Parametros!$B$8-G29)</f>
        <v/>
      </c>
      <c r="K29" s="20" t="str">
        <f aca="false">IF(J29="","",IF(G29=0,"",J29/G29))</f>
        <v/>
      </c>
      <c r="L29" s="17" t="str">
        <f aca="false">IF(AND(A29="",D29=""),"",IF(D29="","Preencher custo",IF(E29="","Sem concorrente",IF((FLOOR(E29*(1-Parametros!$B$6)+0.01,1)-0.01)&gt;=(CEILING(H29+0.01,1)-0.01),"Competitivo","Pouco competitivo"))))</f>
        <v/>
      </c>
    </row>
    <row r="30" customFormat="false" ht="15" hidden="false" customHeight="false" outlineLevel="0" collapsed="false">
      <c r="A30" s="17"/>
      <c r="B30" s="17"/>
      <c r="C30" s="18"/>
      <c r="D30" s="7"/>
      <c r="E30" s="7"/>
      <c r="F30" s="12"/>
      <c r="G30" s="18" t="str">
        <f aca="false">IF(D30="","",D30+Parametros!$B$4)</f>
        <v/>
      </c>
      <c r="H30" s="18" t="str">
        <f aca="false">IF(D30="","",(G30*(1+Parametros!$B$5)+Parametros!$B$8)/(1-Parametros!$B$7)*(1+Parametros!$B$9))</f>
        <v/>
      </c>
      <c r="I30" s="19" t="str">
        <f aca="false">IF(D30="","",IF(E30="",(CEILING(H30+0.01,1)-0.01),MAX((CEILING(H30+0.01,1)-0.01),(FLOOR(E30*(1-Parametros!$B$6)+0.01,1)-0.01))))</f>
        <v/>
      </c>
      <c r="J30" s="18" t="str">
        <f aca="false">IF(I30="","",I30/(1+Parametros!$B$9)-I30*Parametros!$B$7-Parametros!$B$8-G30)</f>
        <v/>
      </c>
      <c r="K30" s="20" t="str">
        <f aca="false">IF(J30="","",IF(G30=0,"",J30/G30))</f>
        <v/>
      </c>
      <c r="L30" s="17" t="str">
        <f aca="false">IF(AND(A30="",D30=""),"",IF(D30="","Preencher custo",IF(E30="","Sem concorrente",IF((FLOOR(E30*(1-Parametros!$B$6)+0.01,1)-0.01)&gt;=(CEILING(H30+0.01,1)-0.01),"Competitivo","Pouco competitivo"))))</f>
        <v/>
      </c>
    </row>
    <row r="31" customFormat="false" ht="15" hidden="false" customHeight="false" outlineLevel="0" collapsed="false">
      <c r="A31" s="17"/>
      <c r="B31" s="17"/>
      <c r="C31" s="18"/>
      <c r="D31" s="7"/>
      <c r="E31" s="7"/>
      <c r="F31" s="12"/>
      <c r="G31" s="18" t="str">
        <f aca="false">IF(D31="","",D31+Parametros!$B$4)</f>
        <v/>
      </c>
      <c r="H31" s="18" t="str">
        <f aca="false">IF(D31="","",(G31*(1+Parametros!$B$5)+Parametros!$B$8)/(1-Parametros!$B$7)*(1+Parametros!$B$9))</f>
        <v/>
      </c>
      <c r="I31" s="19" t="str">
        <f aca="false">IF(D31="","",IF(E31="",(CEILING(H31+0.01,1)-0.01),MAX((CEILING(H31+0.01,1)-0.01),(FLOOR(E31*(1-Parametros!$B$6)+0.01,1)-0.01))))</f>
        <v/>
      </c>
      <c r="J31" s="18" t="str">
        <f aca="false">IF(I31="","",I31/(1+Parametros!$B$9)-I31*Parametros!$B$7-Parametros!$B$8-G31)</f>
        <v/>
      </c>
      <c r="K31" s="20" t="str">
        <f aca="false">IF(J31="","",IF(G31=0,"",J31/G31))</f>
        <v/>
      </c>
      <c r="L31" s="17" t="str">
        <f aca="false">IF(AND(A31="",D31=""),"",IF(D31="","Preencher custo",IF(E31="","Sem concorrente",IF((FLOOR(E31*(1-Parametros!$B$6)+0.01,1)-0.01)&gt;=(CEILING(H31+0.01,1)-0.01),"Competitivo","Pouco competitivo"))))</f>
        <v/>
      </c>
    </row>
    <row r="32" customFormat="false" ht="15" hidden="false" customHeight="false" outlineLevel="0" collapsed="false">
      <c r="A32" s="17"/>
      <c r="B32" s="17"/>
      <c r="C32" s="18"/>
      <c r="D32" s="7"/>
      <c r="E32" s="7"/>
      <c r="F32" s="12"/>
      <c r="G32" s="18" t="str">
        <f aca="false">IF(D32="","",D32+Parametros!$B$4)</f>
        <v/>
      </c>
      <c r="H32" s="18" t="str">
        <f aca="false">IF(D32="","",(G32*(1+Parametros!$B$5)+Parametros!$B$8)/(1-Parametros!$B$7)*(1+Parametros!$B$9))</f>
        <v/>
      </c>
      <c r="I32" s="19" t="str">
        <f aca="false">IF(D32="","",IF(E32="",(CEILING(H32+0.01,1)-0.01),MAX((CEILING(H32+0.01,1)-0.01),(FLOOR(E32*(1-Parametros!$B$6)+0.01,1)-0.01))))</f>
        <v/>
      </c>
      <c r="J32" s="18" t="str">
        <f aca="false">IF(I32="","",I32/(1+Parametros!$B$9)-I32*Parametros!$B$7-Parametros!$B$8-G32)</f>
        <v/>
      </c>
      <c r="K32" s="20" t="str">
        <f aca="false">IF(J32="","",IF(G32=0,"",J32/G32))</f>
        <v/>
      </c>
      <c r="L32" s="17" t="str">
        <f aca="false">IF(AND(A32="",D32=""),"",IF(D32="","Preencher custo",IF(E32="","Sem concorrente",IF((FLOOR(E32*(1-Parametros!$B$6)+0.01,1)-0.01)&gt;=(CEILING(H32+0.01,1)-0.01),"Competitivo","Pouco competitivo"))))</f>
        <v/>
      </c>
    </row>
    <row r="33" customFormat="false" ht="15" hidden="false" customHeight="false" outlineLevel="0" collapsed="false">
      <c r="A33" s="17"/>
      <c r="B33" s="17"/>
      <c r="C33" s="18"/>
      <c r="D33" s="7"/>
      <c r="E33" s="7"/>
      <c r="F33" s="12"/>
      <c r="G33" s="18" t="str">
        <f aca="false">IF(D33="","",D33+Parametros!$B$4)</f>
        <v/>
      </c>
      <c r="H33" s="18" t="str">
        <f aca="false">IF(D33="","",(G33*(1+Parametros!$B$5)+Parametros!$B$8)/(1-Parametros!$B$7)*(1+Parametros!$B$9))</f>
        <v/>
      </c>
      <c r="I33" s="19" t="str">
        <f aca="false">IF(D33="","",IF(E33="",(CEILING(H33+0.01,1)-0.01),MAX((CEILING(H33+0.01,1)-0.01),(FLOOR(E33*(1-Parametros!$B$6)+0.01,1)-0.01))))</f>
        <v/>
      </c>
      <c r="J33" s="18" t="str">
        <f aca="false">IF(I33="","",I33/(1+Parametros!$B$9)-I33*Parametros!$B$7-Parametros!$B$8-G33)</f>
        <v/>
      </c>
      <c r="K33" s="20" t="str">
        <f aca="false">IF(J33="","",IF(G33=0,"",J33/G33))</f>
        <v/>
      </c>
      <c r="L33" s="17" t="str">
        <f aca="false">IF(AND(A33="",D33=""),"",IF(D33="","Preencher custo",IF(E33="","Sem concorrente",IF((FLOOR(E33*(1-Parametros!$B$6)+0.01,1)-0.01)&gt;=(CEILING(H33+0.01,1)-0.01),"Competitivo","Pouco competitivo"))))</f>
        <v/>
      </c>
    </row>
    <row r="34" customFormat="false" ht="15" hidden="false" customHeight="false" outlineLevel="0" collapsed="false">
      <c r="A34" s="17"/>
      <c r="B34" s="17"/>
      <c r="C34" s="18"/>
      <c r="D34" s="7"/>
      <c r="E34" s="7"/>
      <c r="F34" s="12"/>
      <c r="G34" s="18" t="str">
        <f aca="false">IF(D34="","",D34+Parametros!$B$4)</f>
        <v/>
      </c>
      <c r="H34" s="18" t="str">
        <f aca="false">IF(D34="","",(G34*(1+Parametros!$B$5)+Parametros!$B$8)/(1-Parametros!$B$7)*(1+Parametros!$B$9))</f>
        <v/>
      </c>
      <c r="I34" s="19" t="str">
        <f aca="false">IF(D34="","",IF(E34="",(CEILING(H34+0.01,1)-0.01),MAX((CEILING(H34+0.01,1)-0.01),(FLOOR(E34*(1-Parametros!$B$6)+0.01,1)-0.01))))</f>
        <v/>
      </c>
      <c r="J34" s="18" t="str">
        <f aca="false">IF(I34="","",I34/(1+Parametros!$B$9)-I34*Parametros!$B$7-Parametros!$B$8-G34)</f>
        <v/>
      </c>
      <c r="K34" s="20" t="str">
        <f aca="false">IF(J34="","",IF(G34=0,"",J34/G34))</f>
        <v/>
      </c>
      <c r="L34" s="17" t="str">
        <f aca="false">IF(AND(A34="",D34=""),"",IF(D34="","Preencher custo",IF(E34="","Sem concorrente",IF((FLOOR(E34*(1-Parametros!$B$6)+0.01,1)-0.01)&gt;=(CEILING(H34+0.01,1)-0.01),"Competitivo","Pouco competitivo"))))</f>
        <v/>
      </c>
    </row>
    <row r="35" customFormat="false" ht="15" hidden="false" customHeight="false" outlineLevel="0" collapsed="false">
      <c r="A35" s="17"/>
      <c r="B35" s="17"/>
      <c r="C35" s="18"/>
      <c r="D35" s="7"/>
      <c r="E35" s="7"/>
      <c r="F35" s="12"/>
      <c r="G35" s="18" t="str">
        <f aca="false">IF(D35="","",D35+Parametros!$B$4)</f>
        <v/>
      </c>
      <c r="H35" s="18" t="str">
        <f aca="false">IF(D35="","",(G35*(1+Parametros!$B$5)+Parametros!$B$8)/(1-Parametros!$B$7)*(1+Parametros!$B$9))</f>
        <v/>
      </c>
      <c r="I35" s="19" t="str">
        <f aca="false">IF(D35="","",IF(E35="",(CEILING(H35+0.01,1)-0.01),MAX((CEILING(H35+0.01,1)-0.01),(FLOOR(E35*(1-Parametros!$B$6)+0.01,1)-0.01))))</f>
        <v/>
      </c>
      <c r="J35" s="18" t="str">
        <f aca="false">IF(I35="","",I35/(1+Parametros!$B$9)-I35*Parametros!$B$7-Parametros!$B$8-G35)</f>
        <v/>
      </c>
      <c r="K35" s="20" t="str">
        <f aca="false">IF(J35="","",IF(G35=0,"",J35/G35))</f>
        <v/>
      </c>
      <c r="L35" s="17" t="str">
        <f aca="false">IF(AND(A35="",D35=""),"",IF(D35="","Preencher custo",IF(E35="","Sem concorrente",IF((FLOOR(E35*(1-Parametros!$B$6)+0.01,1)-0.01)&gt;=(CEILING(H35+0.01,1)-0.01),"Competitivo","Pouco competitivo"))))</f>
        <v/>
      </c>
    </row>
    <row r="36" customFormat="false" ht="15" hidden="false" customHeight="false" outlineLevel="0" collapsed="false">
      <c r="A36" s="17"/>
      <c r="B36" s="17"/>
      <c r="C36" s="18"/>
      <c r="D36" s="7"/>
      <c r="E36" s="7"/>
      <c r="F36" s="12"/>
      <c r="G36" s="18" t="str">
        <f aca="false">IF(D36="","",D36+Parametros!$B$4)</f>
        <v/>
      </c>
      <c r="H36" s="18" t="str">
        <f aca="false">IF(D36="","",(G36*(1+Parametros!$B$5)+Parametros!$B$8)/(1-Parametros!$B$7)*(1+Parametros!$B$9))</f>
        <v/>
      </c>
      <c r="I36" s="19" t="str">
        <f aca="false">IF(D36="","",IF(E36="",(CEILING(H36+0.01,1)-0.01),MAX((CEILING(H36+0.01,1)-0.01),(FLOOR(E36*(1-Parametros!$B$6)+0.01,1)-0.01))))</f>
        <v/>
      </c>
      <c r="J36" s="18" t="str">
        <f aca="false">IF(I36="","",I36/(1+Parametros!$B$9)-I36*Parametros!$B$7-Parametros!$B$8-G36)</f>
        <v/>
      </c>
      <c r="K36" s="20" t="str">
        <f aca="false">IF(J36="","",IF(G36=0,"",J36/G36))</f>
        <v/>
      </c>
      <c r="L36" s="17" t="str">
        <f aca="false">IF(AND(A36="",D36=""),"",IF(D36="","Preencher custo",IF(E36="","Sem concorrente",IF((FLOOR(E36*(1-Parametros!$B$6)+0.01,1)-0.01)&gt;=(CEILING(H36+0.01,1)-0.01),"Competitivo","Pouco competitivo"))))</f>
        <v/>
      </c>
    </row>
    <row r="37" customFormat="false" ht="15" hidden="false" customHeight="false" outlineLevel="0" collapsed="false">
      <c r="A37" s="17"/>
      <c r="B37" s="17"/>
      <c r="C37" s="18"/>
      <c r="D37" s="7"/>
      <c r="E37" s="7"/>
      <c r="F37" s="12"/>
      <c r="G37" s="18" t="str">
        <f aca="false">IF(D37="","",D37+Parametros!$B$4)</f>
        <v/>
      </c>
      <c r="H37" s="18" t="str">
        <f aca="false">IF(D37="","",(G37*(1+Parametros!$B$5)+Parametros!$B$8)/(1-Parametros!$B$7)*(1+Parametros!$B$9))</f>
        <v/>
      </c>
      <c r="I37" s="19" t="str">
        <f aca="false">IF(D37="","",IF(E37="",(CEILING(H37+0.01,1)-0.01),MAX((CEILING(H37+0.01,1)-0.01),(FLOOR(E37*(1-Parametros!$B$6)+0.01,1)-0.01))))</f>
        <v/>
      </c>
      <c r="J37" s="18" t="str">
        <f aca="false">IF(I37="","",I37/(1+Parametros!$B$9)-I37*Parametros!$B$7-Parametros!$B$8-G37)</f>
        <v/>
      </c>
      <c r="K37" s="20" t="str">
        <f aca="false">IF(J37="","",IF(G37=0,"",J37/G37))</f>
        <v/>
      </c>
      <c r="L37" s="17" t="str">
        <f aca="false">IF(AND(A37="",D37=""),"",IF(D37="","Preencher custo",IF(E37="","Sem concorrente",IF((FLOOR(E37*(1-Parametros!$B$6)+0.01,1)-0.01)&gt;=(CEILING(H37+0.01,1)-0.01),"Competitivo","Pouco competitivo"))))</f>
        <v/>
      </c>
    </row>
    <row r="38" customFormat="false" ht="15" hidden="false" customHeight="false" outlineLevel="0" collapsed="false">
      <c r="A38" s="17"/>
      <c r="B38" s="17"/>
      <c r="C38" s="18"/>
      <c r="D38" s="7"/>
      <c r="E38" s="7"/>
      <c r="F38" s="12"/>
      <c r="G38" s="18" t="str">
        <f aca="false">IF(D38="","",D38+Parametros!$B$4)</f>
        <v/>
      </c>
      <c r="H38" s="18" t="str">
        <f aca="false">IF(D38="","",(G38*(1+Parametros!$B$5)+Parametros!$B$8)/(1-Parametros!$B$7)*(1+Parametros!$B$9))</f>
        <v/>
      </c>
      <c r="I38" s="19" t="str">
        <f aca="false">IF(D38="","",IF(E38="",(CEILING(H38+0.01,1)-0.01),MAX((CEILING(H38+0.01,1)-0.01),(FLOOR(E38*(1-Parametros!$B$6)+0.01,1)-0.01))))</f>
        <v/>
      </c>
      <c r="J38" s="18" t="str">
        <f aca="false">IF(I38="","",I38/(1+Parametros!$B$9)-I38*Parametros!$B$7-Parametros!$B$8-G38)</f>
        <v/>
      </c>
      <c r="K38" s="20" t="str">
        <f aca="false">IF(J38="","",IF(G38=0,"",J38/G38))</f>
        <v/>
      </c>
      <c r="L38" s="17" t="str">
        <f aca="false">IF(AND(A38="",D38=""),"",IF(D38="","Preencher custo",IF(E38="","Sem concorrente",IF((FLOOR(E38*(1-Parametros!$B$6)+0.01,1)-0.01)&gt;=(CEILING(H38+0.01,1)-0.01),"Competitivo","Pouco competitivo"))))</f>
        <v/>
      </c>
    </row>
    <row r="39" customFormat="false" ht="15" hidden="false" customHeight="false" outlineLevel="0" collapsed="false">
      <c r="A39" s="17"/>
      <c r="B39" s="17"/>
      <c r="C39" s="18"/>
      <c r="D39" s="7"/>
      <c r="E39" s="7"/>
      <c r="F39" s="12"/>
      <c r="G39" s="18" t="str">
        <f aca="false">IF(D39="","",D39+Parametros!$B$4)</f>
        <v/>
      </c>
      <c r="H39" s="18" t="str">
        <f aca="false">IF(D39="","",(G39*(1+Parametros!$B$5)+Parametros!$B$8)/(1-Parametros!$B$7)*(1+Parametros!$B$9))</f>
        <v/>
      </c>
      <c r="I39" s="19" t="str">
        <f aca="false">IF(D39="","",IF(E39="",(CEILING(H39+0.01,1)-0.01),MAX((CEILING(H39+0.01,1)-0.01),(FLOOR(E39*(1-Parametros!$B$6)+0.01,1)-0.01))))</f>
        <v/>
      </c>
      <c r="J39" s="18" t="str">
        <f aca="false">IF(I39="","",I39/(1+Parametros!$B$9)-I39*Parametros!$B$7-Parametros!$B$8-G39)</f>
        <v/>
      </c>
      <c r="K39" s="20" t="str">
        <f aca="false">IF(J39="","",IF(G39=0,"",J39/G39))</f>
        <v/>
      </c>
      <c r="L39" s="17" t="str">
        <f aca="false">IF(AND(A39="",D39=""),"",IF(D39="","Preencher custo",IF(E39="","Sem concorrente",IF((FLOOR(E39*(1-Parametros!$B$6)+0.01,1)-0.01)&gt;=(CEILING(H39+0.01,1)-0.01),"Competitivo","Pouco competitivo"))))</f>
        <v/>
      </c>
    </row>
    <row r="40" customFormat="false" ht="15" hidden="false" customHeight="false" outlineLevel="0" collapsed="false">
      <c r="A40" s="17"/>
      <c r="B40" s="17"/>
      <c r="C40" s="18"/>
      <c r="D40" s="7"/>
      <c r="E40" s="7"/>
      <c r="F40" s="12"/>
      <c r="G40" s="18" t="str">
        <f aca="false">IF(D40="","",D40+Parametros!$B$4)</f>
        <v/>
      </c>
      <c r="H40" s="18" t="str">
        <f aca="false">IF(D40="","",(G40*(1+Parametros!$B$5)+Parametros!$B$8)/(1-Parametros!$B$7)*(1+Parametros!$B$9))</f>
        <v/>
      </c>
      <c r="I40" s="19" t="str">
        <f aca="false">IF(D40="","",IF(E40="",(CEILING(H40+0.01,1)-0.01),MAX((CEILING(H40+0.01,1)-0.01),(FLOOR(E40*(1-Parametros!$B$6)+0.01,1)-0.01))))</f>
        <v/>
      </c>
      <c r="J40" s="18" t="str">
        <f aca="false">IF(I40="","",I40/(1+Parametros!$B$9)-I40*Parametros!$B$7-Parametros!$B$8-G40)</f>
        <v/>
      </c>
      <c r="K40" s="20" t="str">
        <f aca="false">IF(J40="","",IF(G40=0,"",J40/G40))</f>
        <v/>
      </c>
      <c r="L40" s="17" t="str">
        <f aca="false">IF(AND(A40="",D40=""),"",IF(D40="","Preencher custo",IF(E40="","Sem concorrente",IF((FLOOR(E40*(1-Parametros!$B$6)+0.01,1)-0.01)&gt;=(CEILING(H40+0.01,1)-0.01),"Competitivo","Pouco competitivo"))))</f>
        <v/>
      </c>
    </row>
    <row r="41" customFormat="false" ht="15" hidden="false" customHeight="false" outlineLevel="0" collapsed="false">
      <c r="A41" s="17"/>
      <c r="B41" s="17"/>
      <c r="C41" s="18"/>
      <c r="D41" s="7"/>
      <c r="E41" s="7"/>
      <c r="F41" s="12"/>
      <c r="G41" s="18" t="str">
        <f aca="false">IF(D41="","",D41+Parametros!$B$4)</f>
        <v/>
      </c>
      <c r="H41" s="18" t="str">
        <f aca="false">IF(D41="","",(G41*(1+Parametros!$B$5)+Parametros!$B$8)/(1-Parametros!$B$7)*(1+Parametros!$B$9))</f>
        <v/>
      </c>
      <c r="I41" s="19" t="str">
        <f aca="false">IF(D41="","",IF(E41="",(CEILING(H41+0.01,1)-0.01),MAX((CEILING(H41+0.01,1)-0.01),(FLOOR(E41*(1-Parametros!$B$6)+0.01,1)-0.01))))</f>
        <v/>
      </c>
      <c r="J41" s="18" t="str">
        <f aca="false">IF(I41="","",I41/(1+Parametros!$B$9)-I41*Parametros!$B$7-Parametros!$B$8-G41)</f>
        <v/>
      </c>
      <c r="K41" s="20" t="str">
        <f aca="false">IF(J41="","",IF(G41=0,"",J41/G41))</f>
        <v/>
      </c>
      <c r="L41" s="17" t="str">
        <f aca="false">IF(AND(A41="",D41=""),"",IF(D41="","Preencher custo",IF(E41="","Sem concorrente",IF((FLOOR(E41*(1-Parametros!$B$6)+0.01,1)-0.01)&gt;=(CEILING(H41+0.01,1)-0.01),"Competitivo","Pouco competitivo"))))</f>
        <v/>
      </c>
    </row>
    <row r="42" customFormat="false" ht="15" hidden="false" customHeight="false" outlineLevel="0" collapsed="false">
      <c r="A42" s="17"/>
      <c r="B42" s="17"/>
      <c r="C42" s="18"/>
      <c r="D42" s="7"/>
      <c r="E42" s="7"/>
      <c r="F42" s="12"/>
      <c r="G42" s="18" t="str">
        <f aca="false">IF(D42="","",D42+Parametros!$B$4)</f>
        <v/>
      </c>
      <c r="H42" s="18" t="str">
        <f aca="false">IF(D42="","",(G42*(1+Parametros!$B$5)+Parametros!$B$8)/(1-Parametros!$B$7)*(1+Parametros!$B$9))</f>
        <v/>
      </c>
      <c r="I42" s="19" t="str">
        <f aca="false">IF(D42="","",IF(E42="",(CEILING(H42+0.01,1)-0.01),MAX((CEILING(H42+0.01,1)-0.01),(FLOOR(E42*(1-Parametros!$B$6)+0.01,1)-0.01))))</f>
        <v/>
      </c>
      <c r="J42" s="18" t="str">
        <f aca="false">IF(I42="","",I42/(1+Parametros!$B$9)-I42*Parametros!$B$7-Parametros!$B$8-G42)</f>
        <v/>
      </c>
      <c r="K42" s="20" t="str">
        <f aca="false">IF(J42="","",IF(G42=0,"",J42/G42))</f>
        <v/>
      </c>
      <c r="L42" s="17" t="str">
        <f aca="false">IF(AND(A42="",D42=""),"",IF(D42="","Preencher custo",IF(E42="","Sem concorrente",IF((FLOOR(E42*(1-Parametros!$B$6)+0.01,1)-0.01)&gt;=(CEILING(H42+0.01,1)-0.01),"Competitivo","Pouco competitivo"))))</f>
        <v/>
      </c>
    </row>
    <row r="43" customFormat="false" ht="15" hidden="false" customHeight="false" outlineLevel="0" collapsed="false">
      <c r="A43" s="17"/>
      <c r="B43" s="17"/>
      <c r="C43" s="18"/>
      <c r="D43" s="7"/>
      <c r="E43" s="7"/>
      <c r="F43" s="12"/>
      <c r="G43" s="18" t="str">
        <f aca="false">IF(D43="","",D43+Parametros!$B$4)</f>
        <v/>
      </c>
      <c r="H43" s="18" t="str">
        <f aca="false">IF(D43="","",(G43*(1+Parametros!$B$5)+Parametros!$B$8)/(1-Parametros!$B$7)*(1+Parametros!$B$9))</f>
        <v/>
      </c>
      <c r="I43" s="19" t="str">
        <f aca="false">IF(D43="","",IF(E43="",(CEILING(H43+0.01,1)-0.01),MAX((CEILING(H43+0.01,1)-0.01),(FLOOR(E43*(1-Parametros!$B$6)+0.01,1)-0.01))))</f>
        <v/>
      </c>
      <c r="J43" s="18" t="str">
        <f aca="false">IF(I43="","",I43/(1+Parametros!$B$9)-I43*Parametros!$B$7-Parametros!$B$8-G43)</f>
        <v/>
      </c>
      <c r="K43" s="20" t="str">
        <f aca="false">IF(J43="","",IF(G43=0,"",J43/G43))</f>
        <v/>
      </c>
      <c r="L43" s="17" t="str">
        <f aca="false">IF(AND(A43="",D43=""),"",IF(D43="","Preencher custo",IF(E43="","Sem concorrente",IF((FLOOR(E43*(1-Parametros!$B$6)+0.01,1)-0.01)&gt;=(CEILING(H43+0.01,1)-0.01),"Competitivo","Pouco competitivo"))))</f>
        <v/>
      </c>
    </row>
    <row r="44" customFormat="false" ht="15" hidden="false" customHeight="false" outlineLevel="0" collapsed="false">
      <c r="A44" s="17"/>
      <c r="B44" s="17"/>
      <c r="C44" s="18"/>
      <c r="D44" s="7"/>
      <c r="E44" s="7"/>
      <c r="F44" s="12"/>
      <c r="G44" s="18" t="str">
        <f aca="false">IF(D44="","",D44+Parametros!$B$4)</f>
        <v/>
      </c>
      <c r="H44" s="18" t="str">
        <f aca="false">IF(D44="","",(G44*(1+Parametros!$B$5)+Parametros!$B$8)/(1-Parametros!$B$7)*(1+Parametros!$B$9))</f>
        <v/>
      </c>
      <c r="I44" s="19" t="str">
        <f aca="false">IF(D44="","",IF(E44="",(CEILING(H44+0.01,1)-0.01),MAX((CEILING(H44+0.01,1)-0.01),(FLOOR(E44*(1-Parametros!$B$6)+0.01,1)-0.01))))</f>
        <v/>
      </c>
      <c r="J44" s="18" t="str">
        <f aca="false">IF(I44="","",I44/(1+Parametros!$B$9)-I44*Parametros!$B$7-Parametros!$B$8-G44)</f>
        <v/>
      </c>
      <c r="K44" s="20" t="str">
        <f aca="false">IF(J44="","",IF(G44=0,"",J44/G44))</f>
        <v/>
      </c>
      <c r="L44" s="17" t="str">
        <f aca="false">IF(AND(A44="",D44=""),"",IF(D44="","Preencher custo",IF(E44="","Sem concorrente",IF((FLOOR(E44*(1-Parametros!$B$6)+0.01,1)-0.01)&gt;=(CEILING(H44+0.01,1)-0.01),"Competitivo","Pouco competitivo"))))</f>
        <v/>
      </c>
    </row>
    <row r="45" customFormat="false" ht="15" hidden="false" customHeight="false" outlineLevel="0" collapsed="false">
      <c r="A45" s="17"/>
      <c r="B45" s="17"/>
      <c r="C45" s="18"/>
      <c r="D45" s="7"/>
      <c r="E45" s="7"/>
      <c r="F45" s="12"/>
      <c r="G45" s="18" t="str">
        <f aca="false">IF(D45="","",D45+Parametros!$B$4)</f>
        <v/>
      </c>
      <c r="H45" s="18" t="str">
        <f aca="false">IF(D45="","",(G45*(1+Parametros!$B$5)+Parametros!$B$8)/(1-Parametros!$B$7)*(1+Parametros!$B$9))</f>
        <v/>
      </c>
      <c r="I45" s="19" t="str">
        <f aca="false">IF(D45="","",IF(E45="",(CEILING(H45+0.01,1)-0.01),MAX((CEILING(H45+0.01,1)-0.01),(FLOOR(E45*(1-Parametros!$B$6)+0.01,1)-0.01))))</f>
        <v/>
      </c>
      <c r="J45" s="18" t="str">
        <f aca="false">IF(I45="","",I45/(1+Parametros!$B$9)-I45*Parametros!$B$7-Parametros!$B$8-G45)</f>
        <v/>
      </c>
      <c r="K45" s="20" t="str">
        <f aca="false">IF(J45="","",IF(G45=0,"",J45/G45))</f>
        <v/>
      </c>
      <c r="L45" s="17" t="str">
        <f aca="false">IF(AND(A45="",D45=""),"",IF(D45="","Preencher custo",IF(E45="","Sem concorrente",IF((FLOOR(E45*(1-Parametros!$B$6)+0.01,1)-0.01)&gt;=(CEILING(H45+0.01,1)-0.01),"Competitivo","Pouco competitivo"))))</f>
        <v/>
      </c>
    </row>
    <row r="46" customFormat="false" ht="15" hidden="false" customHeight="false" outlineLevel="0" collapsed="false">
      <c r="A46" s="17"/>
      <c r="B46" s="17"/>
      <c r="C46" s="18"/>
      <c r="D46" s="7"/>
      <c r="E46" s="7"/>
      <c r="F46" s="12"/>
      <c r="G46" s="18" t="str">
        <f aca="false">IF(D46="","",D46+Parametros!$B$4)</f>
        <v/>
      </c>
      <c r="H46" s="18" t="str">
        <f aca="false">IF(D46="","",(G46*(1+Parametros!$B$5)+Parametros!$B$8)/(1-Parametros!$B$7)*(1+Parametros!$B$9))</f>
        <v/>
      </c>
      <c r="I46" s="19" t="str">
        <f aca="false">IF(D46="","",IF(E46="",(CEILING(H46+0.01,1)-0.01),MAX((CEILING(H46+0.01,1)-0.01),(FLOOR(E46*(1-Parametros!$B$6)+0.01,1)-0.01))))</f>
        <v/>
      </c>
      <c r="J46" s="18" t="str">
        <f aca="false">IF(I46="","",I46/(1+Parametros!$B$9)-I46*Parametros!$B$7-Parametros!$B$8-G46)</f>
        <v/>
      </c>
      <c r="K46" s="20" t="str">
        <f aca="false">IF(J46="","",IF(G46=0,"",J46/G46))</f>
        <v/>
      </c>
      <c r="L46" s="17" t="str">
        <f aca="false">IF(AND(A46="",D46=""),"",IF(D46="","Preencher custo",IF(E46="","Sem concorrente",IF((FLOOR(E46*(1-Parametros!$B$6)+0.01,1)-0.01)&gt;=(CEILING(H46+0.01,1)-0.01),"Competitivo","Pouco competitivo"))))</f>
        <v/>
      </c>
    </row>
    <row r="47" customFormat="false" ht="15" hidden="false" customHeight="false" outlineLevel="0" collapsed="false">
      <c r="A47" s="17"/>
      <c r="B47" s="17"/>
      <c r="C47" s="18"/>
      <c r="D47" s="7"/>
      <c r="E47" s="7"/>
      <c r="F47" s="12"/>
      <c r="G47" s="18" t="str">
        <f aca="false">IF(D47="","",D47+Parametros!$B$4)</f>
        <v/>
      </c>
      <c r="H47" s="18" t="str">
        <f aca="false">IF(D47="","",(G47*(1+Parametros!$B$5)+Parametros!$B$8)/(1-Parametros!$B$7)*(1+Parametros!$B$9))</f>
        <v/>
      </c>
      <c r="I47" s="19" t="str">
        <f aca="false">IF(D47="","",IF(E47="",(CEILING(H47+0.01,1)-0.01),MAX((CEILING(H47+0.01,1)-0.01),(FLOOR(E47*(1-Parametros!$B$6)+0.01,1)-0.01))))</f>
        <v/>
      </c>
      <c r="J47" s="18" t="str">
        <f aca="false">IF(I47="","",I47/(1+Parametros!$B$9)-I47*Parametros!$B$7-Parametros!$B$8-G47)</f>
        <v/>
      </c>
      <c r="K47" s="20" t="str">
        <f aca="false">IF(J47="","",IF(G47=0,"",J47/G47))</f>
        <v/>
      </c>
      <c r="L47" s="17" t="str">
        <f aca="false">IF(AND(A47="",D47=""),"",IF(D47="","Preencher custo",IF(E47="","Sem concorrente",IF((FLOOR(E47*(1-Parametros!$B$6)+0.01,1)-0.01)&gt;=(CEILING(H47+0.01,1)-0.01),"Competitivo","Pouco competitivo"))))</f>
        <v/>
      </c>
    </row>
    <row r="48" customFormat="false" ht="15" hidden="false" customHeight="false" outlineLevel="0" collapsed="false">
      <c r="A48" s="17"/>
      <c r="B48" s="17"/>
      <c r="C48" s="18"/>
      <c r="D48" s="7"/>
      <c r="E48" s="7"/>
      <c r="F48" s="12"/>
      <c r="G48" s="18" t="str">
        <f aca="false">IF(D48="","",D48+Parametros!$B$4)</f>
        <v/>
      </c>
      <c r="H48" s="18" t="str">
        <f aca="false">IF(D48="","",(G48*(1+Parametros!$B$5)+Parametros!$B$8)/(1-Parametros!$B$7)*(1+Parametros!$B$9))</f>
        <v/>
      </c>
      <c r="I48" s="19" t="str">
        <f aca="false">IF(D48="","",IF(E48="",(CEILING(H48+0.01,1)-0.01),MAX((CEILING(H48+0.01,1)-0.01),(FLOOR(E48*(1-Parametros!$B$6)+0.01,1)-0.01))))</f>
        <v/>
      </c>
      <c r="J48" s="18" t="str">
        <f aca="false">IF(I48="","",I48/(1+Parametros!$B$9)-I48*Parametros!$B$7-Parametros!$B$8-G48)</f>
        <v/>
      </c>
      <c r="K48" s="20" t="str">
        <f aca="false">IF(J48="","",IF(G48=0,"",J48/G48))</f>
        <v/>
      </c>
      <c r="L48" s="17" t="str">
        <f aca="false">IF(AND(A48="",D48=""),"",IF(D48="","Preencher custo",IF(E48="","Sem concorrente",IF((FLOOR(E48*(1-Parametros!$B$6)+0.01,1)-0.01)&gt;=(CEILING(H48+0.01,1)-0.01),"Competitivo","Pouco competitivo"))))</f>
        <v/>
      </c>
    </row>
    <row r="49" customFormat="false" ht="15" hidden="false" customHeight="false" outlineLevel="0" collapsed="false">
      <c r="A49" s="17"/>
      <c r="B49" s="17"/>
      <c r="C49" s="18"/>
      <c r="D49" s="7"/>
      <c r="E49" s="7"/>
      <c r="F49" s="12"/>
      <c r="G49" s="18" t="str">
        <f aca="false">IF(D49="","",D49+Parametros!$B$4)</f>
        <v/>
      </c>
      <c r="H49" s="18" t="str">
        <f aca="false">IF(D49="","",(G49*(1+Parametros!$B$5)+Parametros!$B$8)/(1-Parametros!$B$7)*(1+Parametros!$B$9))</f>
        <v/>
      </c>
      <c r="I49" s="19" t="str">
        <f aca="false">IF(D49="","",IF(E49="",(CEILING(H49+0.01,1)-0.01),MAX((CEILING(H49+0.01,1)-0.01),(FLOOR(E49*(1-Parametros!$B$6)+0.01,1)-0.01))))</f>
        <v/>
      </c>
      <c r="J49" s="18" t="str">
        <f aca="false">IF(I49="","",I49/(1+Parametros!$B$9)-I49*Parametros!$B$7-Parametros!$B$8-G49)</f>
        <v/>
      </c>
      <c r="K49" s="20" t="str">
        <f aca="false">IF(J49="","",IF(G49=0,"",J49/G49))</f>
        <v/>
      </c>
      <c r="L49" s="17" t="str">
        <f aca="false">IF(AND(A49="",D49=""),"",IF(D49="","Preencher custo",IF(E49="","Sem concorrente",IF((FLOOR(E49*(1-Parametros!$B$6)+0.01,1)-0.01)&gt;=(CEILING(H49+0.01,1)-0.01),"Competitivo","Pouco competitivo"))))</f>
        <v/>
      </c>
    </row>
    <row r="50" customFormat="false" ht="15" hidden="false" customHeight="false" outlineLevel="0" collapsed="false">
      <c r="A50" s="17"/>
      <c r="B50" s="17"/>
      <c r="C50" s="18"/>
      <c r="D50" s="7"/>
      <c r="E50" s="7"/>
      <c r="F50" s="12"/>
      <c r="G50" s="18" t="str">
        <f aca="false">IF(D50="","",D50+Parametros!$B$4)</f>
        <v/>
      </c>
      <c r="H50" s="18" t="str">
        <f aca="false">IF(D50="","",(G50*(1+Parametros!$B$5)+Parametros!$B$8)/(1-Parametros!$B$7)*(1+Parametros!$B$9))</f>
        <v/>
      </c>
      <c r="I50" s="19" t="str">
        <f aca="false">IF(D50="","",IF(E50="",(CEILING(H50+0.01,1)-0.01),MAX((CEILING(H50+0.01,1)-0.01),(FLOOR(E50*(1-Parametros!$B$6)+0.01,1)-0.01))))</f>
        <v/>
      </c>
      <c r="J50" s="18" t="str">
        <f aca="false">IF(I50="","",I50/(1+Parametros!$B$9)-I50*Parametros!$B$7-Parametros!$B$8-G50)</f>
        <v/>
      </c>
      <c r="K50" s="20" t="str">
        <f aca="false">IF(J50="","",IF(G50=0,"",J50/G50))</f>
        <v/>
      </c>
      <c r="L50" s="17" t="str">
        <f aca="false">IF(AND(A50="",D50=""),"",IF(D50="","Preencher custo",IF(E50="","Sem concorrente",IF((FLOOR(E50*(1-Parametros!$B$6)+0.01,1)-0.01)&gt;=(CEILING(H50+0.01,1)-0.01),"Competitivo","Pouco competitivo"))))</f>
        <v/>
      </c>
    </row>
    <row r="51" customFormat="false" ht="15" hidden="false" customHeight="false" outlineLevel="0" collapsed="false">
      <c r="A51" s="17"/>
      <c r="B51" s="17"/>
      <c r="C51" s="18"/>
      <c r="D51" s="7"/>
      <c r="E51" s="7"/>
      <c r="F51" s="12"/>
      <c r="G51" s="18" t="str">
        <f aca="false">IF(D51="","",D51+Parametros!$B$4)</f>
        <v/>
      </c>
      <c r="H51" s="18" t="str">
        <f aca="false">IF(D51="","",(G51*(1+Parametros!$B$5)+Parametros!$B$8)/(1-Parametros!$B$7)*(1+Parametros!$B$9))</f>
        <v/>
      </c>
      <c r="I51" s="19" t="str">
        <f aca="false">IF(D51="","",IF(E51="",(CEILING(H51+0.01,1)-0.01),MAX((CEILING(H51+0.01,1)-0.01),(FLOOR(E51*(1-Parametros!$B$6)+0.01,1)-0.01))))</f>
        <v/>
      </c>
      <c r="J51" s="18" t="str">
        <f aca="false">IF(I51="","",I51/(1+Parametros!$B$9)-I51*Parametros!$B$7-Parametros!$B$8-G51)</f>
        <v/>
      </c>
      <c r="K51" s="20" t="str">
        <f aca="false">IF(J51="","",IF(G51=0,"",J51/G51))</f>
        <v/>
      </c>
      <c r="L51" s="17" t="str">
        <f aca="false">IF(AND(A51="",D51=""),"",IF(D51="","Preencher custo",IF(E51="","Sem concorrente",IF((FLOOR(E51*(1-Parametros!$B$6)+0.01,1)-0.01)&gt;=(CEILING(H51+0.01,1)-0.01),"Competitivo","Pouco competitivo"))))</f>
        <v/>
      </c>
    </row>
    <row r="52" customFormat="false" ht="15" hidden="false" customHeight="false" outlineLevel="0" collapsed="false">
      <c r="A52" s="17"/>
      <c r="B52" s="17"/>
      <c r="C52" s="18"/>
      <c r="D52" s="7"/>
      <c r="E52" s="7"/>
      <c r="F52" s="12"/>
      <c r="G52" s="18" t="str">
        <f aca="false">IF(D52="","",D52+Parametros!$B$4)</f>
        <v/>
      </c>
      <c r="H52" s="18" t="str">
        <f aca="false">IF(D52="","",(G52*(1+Parametros!$B$5)+Parametros!$B$8)/(1-Parametros!$B$7)*(1+Parametros!$B$9))</f>
        <v/>
      </c>
      <c r="I52" s="19" t="str">
        <f aca="false">IF(D52="","",IF(E52="",(CEILING(H52+0.01,1)-0.01),MAX((CEILING(H52+0.01,1)-0.01),(FLOOR(E52*(1-Parametros!$B$6)+0.01,1)-0.01))))</f>
        <v/>
      </c>
      <c r="J52" s="18" t="str">
        <f aca="false">IF(I52="","",I52/(1+Parametros!$B$9)-I52*Parametros!$B$7-Parametros!$B$8-G52)</f>
        <v/>
      </c>
      <c r="K52" s="20" t="str">
        <f aca="false">IF(J52="","",IF(G52=0,"",J52/G52))</f>
        <v/>
      </c>
      <c r="L52" s="17" t="str">
        <f aca="false">IF(AND(A52="",D52=""),"",IF(D52="","Preencher custo",IF(E52="","Sem concorrente",IF((FLOOR(E52*(1-Parametros!$B$6)+0.01,1)-0.01)&gt;=(CEILING(H52+0.01,1)-0.01),"Competitivo","Pouco competitivo"))))</f>
        <v/>
      </c>
    </row>
    <row r="53" customFormat="false" ht="15" hidden="false" customHeight="false" outlineLevel="0" collapsed="false">
      <c r="A53" s="17"/>
      <c r="B53" s="17"/>
      <c r="C53" s="18"/>
      <c r="D53" s="7"/>
      <c r="E53" s="7"/>
      <c r="F53" s="12"/>
      <c r="G53" s="18" t="str">
        <f aca="false">IF(D53="","",D53+Parametros!$B$4)</f>
        <v/>
      </c>
      <c r="H53" s="18" t="str">
        <f aca="false">IF(D53="","",(G53*(1+Parametros!$B$5)+Parametros!$B$8)/(1-Parametros!$B$7)*(1+Parametros!$B$9))</f>
        <v/>
      </c>
      <c r="I53" s="19" t="str">
        <f aca="false">IF(D53="","",IF(E53="",(CEILING(H53+0.01,1)-0.01),MAX((CEILING(H53+0.01,1)-0.01),(FLOOR(E53*(1-Parametros!$B$6)+0.01,1)-0.01))))</f>
        <v/>
      </c>
      <c r="J53" s="18" t="str">
        <f aca="false">IF(I53="","",I53/(1+Parametros!$B$9)-I53*Parametros!$B$7-Parametros!$B$8-G53)</f>
        <v/>
      </c>
      <c r="K53" s="20" t="str">
        <f aca="false">IF(J53="","",IF(G53=0,"",J53/G53))</f>
        <v/>
      </c>
      <c r="L53" s="17" t="str">
        <f aca="false">IF(AND(A53="",D53=""),"",IF(D53="","Preencher custo",IF(E53="","Sem concorrente",IF((FLOOR(E53*(1-Parametros!$B$6)+0.01,1)-0.01)&gt;=(CEILING(H53+0.01,1)-0.01),"Competitivo","Pouco competitivo"))))</f>
        <v/>
      </c>
    </row>
    <row r="54" customFormat="false" ht="15" hidden="false" customHeight="false" outlineLevel="0" collapsed="false">
      <c r="A54" s="17"/>
      <c r="B54" s="17"/>
      <c r="C54" s="18"/>
      <c r="D54" s="7"/>
      <c r="E54" s="7"/>
      <c r="F54" s="12"/>
      <c r="G54" s="18" t="str">
        <f aca="false">IF(D54="","",D54+Parametros!$B$4)</f>
        <v/>
      </c>
      <c r="H54" s="18" t="str">
        <f aca="false">IF(D54="","",(G54*(1+Parametros!$B$5)+Parametros!$B$8)/(1-Parametros!$B$7)*(1+Parametros!$B$9))</f>
        <v/>
      </c>
      <c r="I54" s="19" t="str">
        <f aca="false">IF(D54="","",IF(E54="",(CEILING(H54+0.01,1)-0.01),MAX((CEILING(H54+0.01,1)-0.01),(FLOOR(E54*(1-Parametros!$B$6)+0.01,1)-0.01))))</f>
        <v/>
      </c>
      <c r="J54" s="18" t="str">
        <f aca="false">IF(I54="","",I54/(1+Parametros!$B$9)-I54*Parametros!$B$7-Parametros!$B$8-G54)</f>
        <v/>
      </c>
      <c r="K54" s="20" t="str">
        <f aca="false">IF(J54="","",IF(G54=0,"",J54/G54))</f>
        <v/>
      </c>
      <c r="L54" s="17" t="str">
        <f aca="false">IF(AND(A54="",D54=""),"",IF(D54="","Preencher custo",IF(E54="","Sem concorrente",IF((FLOOR(E54*(1-Parametros!$B$6)+0.01,1)-0.01)&gt;=(CEILING(H54+0.01,1)-0.01),"Competitivo","Pouco competitivo"))))</f>
        <v/>
      </c>
    </row>
  </sheetData>
  <conditionalFormatting sqref="L5:L54">
    <cfRule type="expression" priority="2" aboveAverage="0" equalAverage="0" bottom="0" percent="0" rank="0" text="" dxfId="0">
      <formula>L5="Competitivo"</formula>
    </cfRule>
    <cfRule type="expression" priority="3" aboveAverage="0" equalAverage="0" bottom="0" percent="0" rank="0" text="" dxfId="1">
      <formula>L5="Pouco competitivo"</formula>
    </cfRule>
    <cfRule type="expression" priority="4" aboveAverage="0" equalAverage="0" bottom="0" percent="0" rank="0" text="" dxfId="2">
      <formula>L5="Sem concorrente"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2026-10-23T23:14:19Z</dcterms:created>
  <dc:creator>openpyxl</dc:creator>
  <dc:description/>
  <dc:language>en-US</dc:language>
  <cp:lastModifiedBy/>
  <dcterms:modified xsi:type="dcterms:W3CDTF">2026-10-23T23:14:19Z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